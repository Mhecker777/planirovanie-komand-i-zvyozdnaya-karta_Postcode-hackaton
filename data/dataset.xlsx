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atya/Downloads/"/>
    </mc:Choice>
  </mc:AlternateContent>
  <xr:revisionPtr revIDLastSave="0" documentId="13_ncr:1_{1484C044-EFBE-534A-8B66-B1517A96712F}" xr6:coauthVersionLast="47" xr6:coauthVersionMax="47" xr10:uidLastSave="{00000000-0000-0000-0000-000000000000}"/>
  <bookViews>
    <workbookView xWindow="0" yWindow="760" windowWidth="30180" windowHeight="17500" xr2:uid="{00000000-000D-0000-FFFF-FFFF00000000}"/>
  </bookViews>
  <sheets>
    <sheet name="Датасет(обновленный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B54" i="1"/>
  <c r="B58" i="1"/>
  <c r="B57" i="1"/>
  <c r="B56" i="1"/>
  <c r="B55" i="1"/>
  <c r="A58" i="1"/>
  <c r="A57" i="1"/>
  <c r="A56" i="1"/>
  <c r="A55" i="1"/>
  <c r="A54" i="1"/>
  <c r="H38" i="1"/>
  <c r="H27" i="1"/>
  <c r="H21" i="1"/>
  <c r="H18" i="1"/>
  <c r="H15" i="1"/>
  <c r="H12" i="1"/>
  <c r="H4" i="1"/>
</calcChain>
</file>

<file path=xl/sharedStrings.xml><?xml version="1.0" encoding="utf-8"?>
<sst xmlns="http://schemas.openxmlformats.org/spreadsheetml/2006/main" count="771" uniqueCount="284">
  <si>
    <t>Tasks (Таблица задач и скоринга)</t>
  </si>
  <si>
    <t>Номер инициативы</t>
  </si>
  <si>
    <t>task_id</t>
  </si>
  <si>
    <t>parent_id</t>
  </si>
  <si>
    <t>summary</t>
  </si>
  <si>
    <t>team_id</t>
  </si>
  <si>
    <t>status</t>
  </si>
  <si>
    <t>rung</t>
  </si>
  <si>
    <t>estimation_sp</t>
  </si>
  <si>
    <t>created_at</t>
  </si>
  <si>
    <t>planned_start</t>
  </si>
  <si>
    <t>planned_end</t>
  </si>
  <si>
    <t>actual_start</t>
  </si>
  <si>
    <t>actual_end</t>
  </si>
  <si>
    <t>estimated_hh</t>
  </si>
  <si>
    <t>плановый результат</t>
  </si>
  <si>
    <t>будет включено в спринт</t>
  </si>
  <si>
    <t>заказчик</t>
  </si>
  <si>
    <t>исполнитель</t>
  </si>
  <si>
    <t>PRODF-7120</t>
  </si>
  <si>
    <t>ONK-2475</t>
  </si>
  <si>
    <t>BR-151</t>
  </si>
  <si>
    <t>Модернизация фискального ядра (Проект Ф-22)</t>
  </si>
  <si>
    <t>Team-L</t>
  </si>
  <si>
    <t>Done</t>
  </si>
  <si>
    <t>6. Функционал реализован и перенесен в промышленную эксплуатацию</t>
  </si>
  <si>
    <t>Да</t>
  </si>
  <si>
    <t>ASUKD-5222</t>
  </si>
  <si>
    <t>Team-K</t>
  </si>
  <si>
    <t>KP-3898</t>
  </si>
  <si>
    <t>Team-Platform</t>
  </si>
  <si>
    <t>InProgress</t>
  </si>
  <si>
    <t>ONK-2914</t>
  </si>
  <si>
    <t>ToDo</t>
  </si>
  <si>
    <t>ASUKD-5918</t>
  </si>
  <si>
    <t>KP-0000</t>
  </si>
  <si>
    <t>PRODF-7121</t>
  </si>
  <si>
    <t>MOB-7011</t>
  </si>
  <si>
    <t>BR-152</t>
  </si>
  <si>
    <t>Редизайн личного кабинета и UI-кита</t>
  </si>
  <si>
    <t>MOB-7012</t>
  </si>
  <si>
    <t>Реализация мобильного виджета доставки</t>
  </si>
  <si>
    <t>MOB-7013</t>
  </si>
  <si>
    <t>Адаптация UI под планшетные версии</t>
  </si>
  <si>
    <t>PRODF-7122</t>
  </si>
  <si>
    <t>ANL-3041</t>
  </si>
  <si>
    <t>BR-153</t>
  </si>
  <si>
    <t>Анализ узких мест интеграционного шлюза</t>
  </si>
  <si>
    <t>2. Аналитика и архитектура завершены</t>
  </si>
  <si>
    <t>QA-9022</t>
  </si>
  <si>
    <t>Автоматизация регрессионных тестов API</t>
  </si>
  <si>
    <t>ANL-3042</t>
  </si>
  <si>
    <t>Проектирование очередей отказоустойчивости</t>
  </si>
  <si>
    <t>PRODF-7123</t>
  </si>
  <si>
    <t>MP-101</t>
  </si>
  <si>
    <t>BR-155</t>
  </si>
  <si>
    <t>Проектирование схемы данных шлюза маркетплейсов</t>
  </si>
  <si>
    <t>MP-102</t>
  </si>
  <si>
    <t>Разработка API-коннекторов к витринам (Проект МП)</t>
  </si>
  <si>
    <t>MP-103</t>
  </si>
  <si>
    <t>Сквозное тестирование сценариев синхронизации</t>
  </si>
  <si>
    <t>PRODF-7124</t>
  </si>
  <si>
    <t>DB-201</t>
  </si>
  <si>
    <t>BR-156</t>
  </si>
  <si>
    <t>Аудит хранимых процедур и подготовка схемы миграции</t>
  </si>
  <si>
    <t>DB-202</t>
  </si>
  <si>
    <t>Перенос логики и рефакторинг сервисов (Проект СУБД)</t>
  </si>
  <si>
    <t>DB-203</t>
  </si>
  <si>
    <t>Развертывание отказоустойчивого кластера и CI/CD</t>
  </si>
  <si>
    <t>PRODF-7125</t>
  </si>
  <si>
    <t>AI-301</t>
  </si>
  <si>
    <t>BR-157</t>
  </si>
  <si>
    <t>Разметка датасета диалогов и пилотное обучение LLM</t>
  </si>
  <si>
    <t>AI-302</t>
  </si>
  <si>
    <t>Интеграция ИИ-модели с витриной оператора КЦ</t>
  </si>
  <si>
    <t>AI-303</t>
  </si>
  <si>
    <t>Сбор обратной связи и дообучение классификатора</t>
  </si>
  <si>
    <t>PRODF-7126</t>
  </si>
  <si>
    <t>SRV-4011</t>
  </si>
  <si>
    <t>BR-158</t>
  </si>
  <si>
    <t>Оптимизация логистических маршрутов (Проект Оптима)</t>
  </si>
  <si>
    <t>Team-Alpha</t>
  </si>
  <si>
    <t>SRV-4012</t>
  </si>
  <si>
    <t>Внедрение модуля динамического ценообразования</t>
  </si>
  <si>
    <t>SRV-4010</t>
  </si>
  <si>
    <t>Геокодирование адресов и картография</t>
  </si>
  <si>
    <t>PRODF-7127</t>
  </si>
  <si>
    <t>SRV-4021</t>
  </si>
  <si>
    <t>BR-159</t>
  </si>
  <si>
    <t>Шлюз транзакционных и сервисных сообщений</t>
  </si>
  <si>
    <t>Team-Beta</t>
  </si>
  <si>
    <t>4. Функционал реализован и готов к ИТ</t>
  </si>
  <si>
    <t>SRV-4022</t>
  </si>
  <si>
    <t>Настройка каскадных правил отправки (SMS/Push)</t>
  </si>
  <si>
    <t>SRV-4023</t>
  </si>
  <si>
    <t>Подключение резервных SMS-провайдеров</t>
  </si>
  <si>
    <t>PRODF-7128</t>
  </si>
  <si>
    <t>SRV-4031</t>
  </si>
  <si>
    <t>BR-160</t>
  </si>
  <si>
    <t>Кабинет мерчанта: загрузка товарных матриц</t>
  </si>
  <si>
    <t>SRV-4032</t>
  </si>
  <si>
    <t>Интеграция ЛК с финансовым биллингом компании</t>
  </si>
  <si>
    <t>SRV-4033</t>
  </si>
  <si>
    <t>Генерация закрывающих документов для юрлиц</t>
  </si>
  <si>
    <t>PRODF-7129</t>
  </si>
  <si>
    <t>SRV-4041</t>
  </si>
  <si>
    <t>BR-161</t>
  </si>
  <si>
    <t>ЕСИА-авторизация и проверка учетных записей</t>
  </si>
  <si>
    <t>Team-Delta</t>
  </si>
  <si>
    <t>SRV-4042</t>
  </si>
  <si>
    <t>Подключение коннекторов СМЭВ 3.0</t>
  </si>
  <si>
    <t>SRV-4043</t>
  </si>
  <si>
    <t>Проектирование витрины регламентированных справок</t>
  </si>
  <si>
    <t>PRODF-7130</t>
  </si>
  <si>
    <t>SRV-4051</t>
  </si>
  <si>
    <t>BR-162</t>
  </si>
  <si>
    <t>Архитектура шины обмена кадровыми документами</t>
  </si>
  <si>
    <t>SRV-4052</t>
  </si>
  <si>
    <t>Внедрение КЭП (Квалифицированной ЭЦП) инженеров</t>
  </si>
  <si>
    <t>PRODF-7131</t>
  </si>
  <si>
    <t>SRV-4061</t>
  </si>
  <si>
    <t>BR-163</t>
  </si>
  <si>
    <t>Сбор логов производительности ядра и СУБД</t>
  </si>
  <si>
    <t>SRV-4062</t>
  </si>
  <si>
    <t>Визуализация дашбордов Grafana / Prometheus</t>
  </si>
  <si>
    <t>SRV-4063</t>
  </si>
  <si>
    <t>Настройка алертинга критических сбоев</t>
  </si>
  <si>
    <t>PRODF-7132</t>
  </si>
  <si>
    <t>SRV-4071</t>
  </si>
  <si>
    <t>BR-164</t>
  </si>
  <si>
    <t>Анализ медленных запросов платежного шлюза</t>
  </si>
  <si>
    <t>SRV-4072</t>
  </si>
  <si>
    <t>Перевод эквайринга на асинхронную обработку</t>
  </si>
  <si>
    <t>PRODF-7133</t>
  </si>
  <si>
    <t>SRV-4081</t>
  </si>
  <si>
    <t>BR-165</t>
  </si>
  <si>
    <t>Витрина данных коммерческой аналитики</t>
  </si>
  <si>
    <t>SRV-4082</t>
  </si>
  <si>
    <t>Оптимизация витрин и агрегатов ClickHouse</t>
  </si>
  <si>
    <t>PRODF-7134</t>
  </si>
  <si>
    <t>SRV-4091</t>
  </si>
  <si>
    <t>BR-166</t>
  </si>
  <si>
    <t>Проектирование витрины "Программа лояльности"</t>
  </si>
  <si>
    <t>SRV-4092</t>
  </si>
  <si>
    <t>Реализация процессинга бонусных баллов</t>
  </si>
  <si>
    <t>SRV-4093</t>
  </si>
  <si>
    <t>Интеграция лояльности с кассовым ПО</t>
  </si>
  <si>
    <t>Estimates. Калькулятор сметы в человеко-часах (ЧЧ)</t>
  </si>
  <si>
    <t>Роль</t>
  </si>
  <si>
    <t>SRV-4013</t>
  </si>
  <si>
    <t>SRV-4014</t>
  </si>
  <si>
    <t>SRV-4015</t>
  </si>
  <si>
    <t>SRV-4016</t>
  </si>
  <si>
    <t>SRV-4017</t>
  </si>
  <si>
    <t>SRV-4018</t>
  </si>
  <si>
    <t>SRV-4019</t>
  </si>
  <si>
    <t>Аналитик</t>
  </si>
  <si>
    <t>Аналитик 1С</t>
  </si>
  <si>
    <t>Аналитик Big Data</t>
  </si>
  <si>
    <t>Архитектор 1С</t>
  </si>
  <si>
    <t>Архитектор решений</t>
  </si>
  <si>
    <t>ДевОпс</t>
  </si>
  <si>
    <t>Дизайнер</t>
  </si>
  <si>
    <t>Разработчик .net</t>
  </si>
  <si>
    <t>Разработчик 1С</t>
  </si>
  <si>
    <t>Разработчик Android</t>
  </si>
  <si>
    <t>Разработчик Big Data</t>
  </si>
  <si>
    <t>Разработчик iOS</t>
  </si>
  <si>
    <t>Разработчик Java</t>
  </si>
  <si>
    <t>Разработчик Java Script</t>
  </si>
  <si>
    <t>Разработчик BigData</t>
  </si>
  <si>
    <t>Руководитель проекта</t>
  </si>
  <si>
    <t>Руководитель BigData</t>
  </si>
  <si>
    <t>Специалист поддержки</t>
  </si>
  <si>
    <t>Специалист поддержки 1С</t>
  </si>
  <si>
    <t>Специалист поддержки BigData</t>
  </si>
  <si>
    <t>Тестировщик</t>
  </si>
  <si>
    <t>Тестировщик (Автотестирование)</t>
  </si>
  <si>
    <t>Итого по ролям</t>
  </si>
  <si>
    <t>Task_dependencies (Связи зависимостей)</t>
  </si>
  <si>
    <t>blocking_task_id</t>
  </si>
  <si>
    <t>blocked_task_id</t>
  </si>
  <si>
    <t>dependency_type</t>
  </si>
  <si>
    <t>has to be done before</t>
  </si>
  <si>
    <t>is required for</t>
  </si>
  <si>
    <t>depends on</t>
  </si>
  <si>
    <t>Engineers_profiles (Профили инженеров / Звездная карта)</t>
  </si>
  <si>
    <t>engineer_id</t>
  </si>
  <si>
    <t>role</t>
  </si>
  <si>
    <t>grade</t>
  </si>
  <si>
    <t>skills_declared</t>
  </si>
  <si>
    <t>capacity_rate</t>
  </si>
  <si>
    <t>ENG-401</t>
  </si>
  <si>
    <t>Middle</t>
  </si>
  <si>
    <t>Java, Spring Boot, PostgreSQL, Hibernate, Apache Kafka</t>
  </si>
  <si>
    <t>1.0</t>
  </si>
  <si>
    <t>ENG-402</t>
  </si>
  <si>
    <t>Java, Spring Cloud, PostgreSQL, Docker, Liquibase</t>
  </si>
  <si>
    <t>ENG-403</t>
  </si>
  <si>
    <t>Senior</t>
  </si>
  <si>
    <t>Java, Spring Framework, PostgreSQL, RabbitMQ, Microservices Архитектура</t>
  </si>
  <si>
    <t>ENG-404</t>
  </si>
  <si>
    <t>SQL, JSON, XML, REST API, SOAP, Power BI, Confluence, BPMN, UML</t>
  </si>
  <si>
    <t>ENG-405</t>
  </si>
  <si>
    <t>Figma, Adobe Illustrator, UX/UI, HTML/CSS, A/B testing, CJM</t>
  </si>
  <si>
    <t>0.5</t>
  </si>
  <si>
    <t>ENG-406</t>
  </si>
  <si>
    <t>Junior</t>
  </si>
  <si>
    <t>JavaScript, React, REST API, GraphQL, HTML/CSS, Git</t>
  </si>
  <si>
    <t>ENG-407</t>
  </si>
  <si>
    <t>JavaScript, TypeScript, Vue.js, Angular, REST API, GraphQL, WebSocket</t>
  </si>
  <si>
    <t>ENG-408</t>
  </si>
  <si>
    <t>Usability, REST API, SQL, DevTools, Regression/Smoke/Functional testing, Postman</t>
  </si>
  <si>
    <t>ENG-409</t>
  </si>
  <si>
    <t>Usability, REST API, Ручное тестирование, Снифферы трафика (Charles)</t>
  </si>
  <si>
    <t>ENG-410</t>
  </si>
  <si>
    <t>Java, Selenium WebDriver, Playwright, Pytest, JUnit, SQL, Postman, CI/CD</t>
  </si>
  <si>
    <t>ENG-411</t>
  </si>
  <si>
    <t>Usability, REST API, SQL, DevTools, Regression/Smoke/Functional testing</t>
  </si>
  <si>
    <t>ENG-412</t>
  </si>
  <si>
    <t>Usability, REST API, Тестирование безопасности, Нагрузочное тестирование (JMeter)</t>
  </si>
  <si>
    <t>ENG-413</t>
  </si>
  <si>
    <t>Java, Selenium WebDriver, Playwright, Pytest, JUnit, GitLab CI, SQL, Postman</t>
  </si>
  <si>
    <t>ENG-414</t>
  </si>
  <si>
    <t>Java, Core Spring, PostgreSQL, gRPC, ElasticSearch, Архитектура БД</t>
  </si>
  <si>
    <t>ENG-415</t>
  </si>
  <si>
    <t>Usability, REST API, SQL, DevTools, Интеграционное тестирование</t>
  </si>
  <si>
    <t>ENG-416</t>
  </si>
  <si>
    <t>Разработчик IOS</t>
  </si>
  <si>
    <t>Swift, SwiftUI, UIKit, MVC, MVVM, ARKit, CoreLocation, SQLite, CocoaPods</t>
  </si>
  <si>
    <t>ENG-417</t>
  </si>
  <si>
    <t>Kotlin, Java, Android SDK, Gradle, Jetpack Compose, Material Design, Dependency Injection, Room, SQLite</t>
  </si>
  <si>
    <t>ENG-418</t>
  </si>
  <si>
    <t>TOGAF, Архитектура ПО, Микросервисы, Проектирование интеграций, REST/gRPC</t>
  </si>
  <si>
    <t>ENG-419</t>
  </si>
  <si>
    <t>Девопс</t>
  </si>
  <si>
    <t>Linux, Docker, Kubernetes, CI/CD (GitLab, Jenkins), Ansible, Terraform, Prometheus</t>
  </si>
  <si>
    <t>ENG-420</t>
  </si>
  <si>
    <t>C#, .NET Core, ASP.NET, Entity Framework, MS SQL, LINQ, Microservices</t>
  </si>
  <si>
    <t>ENG-421</t>
  </si>
  <si>
    <t>Python, SQL, Hadoop, Spark, Математическая статистика, BI инструменты</t>
  </si>
  <si>
    <t>ENG-422</t>
  </si>
  <si>
    <t>Python, PySpark, Scala, Hadoop, Hive, Airflow, Оптимизация ETL</t>
  </si>
  <si>
    <t>ENG-423</t>
  </si>
  <si>
    <t>Управление Data-командами, Agile/Scrum, Продуктовые метрики ИИ, Роадмапы</t>
  </si>
  <si>
    <t>ENG-424</t>
  </si>
  <si>
    <t>Java, Spring Boot, Микросервисы, PostgreSQL, Kafka, CI/CD</t>
  </si>
  <si>
    <t>ENG-425</t>
  </si>
  <si>
    <t>Системный анализ, REST API, SQL, BPMN, UML, Confluence</t>
  </si>
  <si>
    <t>ENG-426</t>
  </si>
  <si>
    <t>Python, SQL, Tableau, Математический анализ, Pandas</t>
  </si>
  <si>
    <t>ENG-427</t>
  </si>
  <si>
    <t>Java, Core, Spring Core, Hibernate, MS SQL, Git</t>
  </si>
  <si>
    <t>ENG-428</t>
  </si>
  <si>
    <t>Бизнес-анализ, Сбор требований, ТЗ, UML, REST/SOAP интеграции</t>
  </si>
  <si>
    <t>ENG-429</t>
  </si>
  <si>
    <t>Java, Spring Boot, Архитектура ИТ-систем, gRPC, Docker, Kubernetes</t>
  </si>
  <si>
    <t>ENG-430</t>
  </si>
  <si>
    <t>Функциональное тестирование, Регресс, Postman, SQL, Jira</t>
  </si>
  <si>
    <t>Team_history (История емкости спринтов)</t>
  </si>
  <si>
    <t>snapshot_date</t>
  </si>
  <si>
    <t>velocity_achieved</t>
  </si>
  <si>
    <t>planned_sp</t>
  </si>
  <si>
    <t>Итог разработки, выбирается заказчиком и исполнителем на этапе планирования</t>
  </si>
  <si>
    <t>1. Аналитика и архитектура выполнены частично</t>
  </si>
  <si>
    <t>3. Функционал реализован частично, работы будут продолжены</t>
  </si>
  <si>
    <t>5. Функционал реализован и перенесен в опытную эксплуатацию</t>
  </si>
  <si>
    <t>не будет взято в квартал</t>
  </si>
  <si>
    <t>Отменено зака</t>
  </si>
  <si>
    <t>Причины расхождения планов заказчика и исполнителя</t>
  </si>
  <si>
    <t>Не оценивалась</t>
  </si>
  <si>
    <t>Отсутствие ресурсов</t>
  </si>
  <si>
    <t>Отсутствует готовность смежных команд</t>
  </si>
  <si>
    <t>Превышение плана</t>
  </si>
  <si>
    <t>Изменились требования</t>
  </si>
  <si>
    <t>Результаты работ при закрытии задачи</t>
  </si>
  <si>
    <t>планируемый результат работ достигнут</t>
  </si>
  <si>
    <t>планируемый результат работ НЕ достигнут</t>
  </si>
  <si>
    <t>Работы отменены/перенесены заказчиком</t>
  </si>
  <si>
    <t>spent_time</t>
  </si>
  <si>
    <t>Spent_time_roles. Количество затраченного времени по ролям в задачах InProgress</t>
  </si>
  <si>
    <t>затраченное время по ролям</t>
  </si>
  <si>
    <t>Исходное время</t>
  </si>
  <si>
    <t>итоговый 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</si>
</sst>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:mm"/>
    <numFmt numFmtId="166" formatCode="yyyy\-mm\-dd"/>
  </numFmts>
  <fonts count="10">
    <font>
      <sz val="10"/>
      <color rgb="FF000000"/>
      <name val="Arial"/>
      <scheme val="minor"/>
    </font>
    <font>
      <b/>
      <sz val="11"/>
      <color theme="1"/>
      <name val="Monospace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1F1F1F"/>
      <name val="Roboto"/>
    </font>
    <font>
      <sz val="10"/>
      <color rgb="FF000000"/>
      <name val="Arial"/>
      <family val="2"/>
    </font>
    <font>
      <b/>
      <sz val="10"/>
      <color rgb="FF1F1F1F"/>
      <name val="Roboto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1F1F1F"/>
      <name val="Roboto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6" fontId="3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3" fillId="0" borderId="0" xfId="0" applyFont="1" applyFill="1" applyBorder="1"/>
    <xf numFmtId="0" fontId="3" fillId="0" borderId="2" xfId="0" applyFont="1" applyFill="1" applyBorder="1"/>
    <xf numFmtId="0" fontId="0" fillId="0" borderId="2" xfId="0" applyBorder="1"/>
    <xf numFmtId="0" fontId="2" fillId="0" borderId="2" xfId="0" applyFont="1" applyBorder="1"/>
    <xf numFmtId="0" fontId="3" fillId="0" borderId="2" xfId="0" applyFont="1" applyBorder="1"/>
    <xf numFmtId="0" fontId="2" fillId="0" borderId="2" xfId="0" applyFont="1" applyFill="1" applyBorder="1"/>
    <xf numFmtId="0" fontId="8" fillId="0" borderId="0" xfId="0" applyFont="1"/>
    <xf numFmtId="0" fontId="8" fillId="0" borderId="3" xfId="0" applyFont="1" applyBorder="1" applyAlignment="1"/>
    <xf numFmtId="0" fontId="8" fillId="0" borderId="4" xfId="0" applyFont="1" applyBorder="1" applyAlignment="1"/>
    <xf numFmtId="0" fontId="8" fillId="0" borderId="5" xfId="0" applyFont="1" applyBorder="1" applyAlignment="1"/>
    <xf numFmtId="0" fontId="2" fillId="0" borderId="3" xfId="0" applyFont="1" applyFill="1" applyBorder="1"/>
    <xf numFmtId="0" fontId="2" fillId="0" borderId="0" xfId="0" applyFont="1" applyBorder="1"/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0" fontId="3" fillId="0" borderId="0" xfId="0" applyFont="1" applyBorder="1"/>
    <xf numFmtId="0" fontId="7" fillId="0" borderId="2" xfId="0" applyFont="1" applyBorder="1"/>
    <xf numFmtId="0" fontId="3" fillId="0" borderId="6" xfId="0" applyFont="1" applyBorder="1"/>
    <xf numFmtId="0" fontId="7" fillId="0" borderId="7" xfId="0" applyFont="1" applyFill="1" applyBorder="1" applyAlignment="1">
      <alignment horizontal="left"/>
    </xf>
    <xf numFmtId="0" fontId="1" fillId="0" borderId="0" xfId="0" applyFont="1" applyFill="1"/>
    <xf numFmtId="0" fontId="0" fillId="0" borderId="0" xfId="0" applyFill="1"/>
    <xf numFmtId="0" fontId="2" fillId="0" borderId="1" xfId="0" applyFont="1" applyFill="1" applyBorder="1"/>
    <xf numFmtId="0" fontId="2" fillId="0" borderId="0" xfId="0" applyFont="1" applyFill="1"/>
    <xf numFmtId="0" fontId="3" fillId="0" borderId="1" xfId="0" applyFont="1" applyFill="1" applyBorder="1"/>
    <xf numFmtId="165" fontId="3" fillId="0" borderId="1" xfId="0" applyNumberFormat="1" applyFont="1" applyFill="1" applyBorder="1"/>
    <xf numFmtId="0" fontId="5" fillId="0" borderId="1" xfId="0" applyFont="1" applyFill="1" applyBorder="1" applyAlignment="1">
      <alignment horizontal="left"/>
    </xf>
    <xf numFmtId="0" fontId="0" fillId="0" borderId="0" xfId="0" applyFill="1" applyBorder="1"/>
    <xf numFmtId="0" fontId="2" fillId="0" borderId="0" xfId="0" applyFont="1" applyFill="1" applyBorder="1"/>
    <xf numFmtId="0" fontId="9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3" fillId="0" borderId="6" xfId="0" applyFont="1" applyFill="1" applyBorder="1"/>
    <xf numFmtId="0" fontId="3" fillId="0" borderId="8" xfId="0" applyFont="1" applyFill="1" applyBorder="1"/>
    <xf numFmtId="0" fontId="3" fillId="0" borderId="9" xfId="0" applyFont="1" applyFill="1" applyBorder="1"/>
    <xf numFmtId="0" fontId="7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7" fillId="0" borderId="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A179"/>
  <sheetViews>
    <sheetView tabSelected="1" topLeftCell="A17" workbookViewId="0">
      <pane xSplit="1" topLeftCell="B1" activePane="topRight" state="frozen"/>
      <selection activeCell="A53" sqref="A53"/>
      <selection pane="topRight" activeCell="A50" sqref="A50"/>
    </sheetView>
  </sheetViews>
  <sheetFormatPr baseColWidth="10" defaultColWidth="12.6640625" defaultRowHeight="15.75" customHeight="1"/>
  <cols>
    <col min="1" max="1" width="16.6640625" customWidth="1"/>
    <col min="11" max="15" width="15.1640625" bestFit="1" customWidth="1"/>
  </cols>
  <sheetData>
    <row r="1" spans="1:29" s="30" customFormat="1" ht="15">
      <c r="A1" s="29" t="s">
        <v>0</v>
      </c>
      <c r="B1" s="29"/>
      <c r="X1" s="36"/>
      <c r="Y1" s="36"/>
      <c r="Z1" s="36"/>
      <c r="AA1" s="36"/>
      <c r="AB1" s="36"/>
      <c r="AC1" s="36"/>
    </row>
    <row r="2" spans="1:29" s="30" customFormat="1" ht="15.75" customHeight="1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279</v>
      </c>
      <c r="I2" s="31" t="s">
        <v>8</v>
      </c>
      <c r="J2" s="31" t="s">
        <v>9</v>
      </c>
      <c r="K2" s="31" t="s">
        <v>10</v>
      </c>
      <c r="L2" s="31" t="s">
        <v>11</v>
      </c>
      <c r="M2" s="31" t="s">
        <v>12</v>
      </c>
      <c r="N2" s="31" t="s">
        <v>13</v>
      </c>
      <c r="O2" s="31" t="s">
        <v>14</v>
      </c>
      <c r="P2" s="31" t="s">
        <v>15</v>
      </c>
      <c r="Q2" s="31" t="s">
        <v>16</v>
      </c>
      <c r="R2" s="31" t="s">
        <v>17</v>
      </c>
      <c r="S2" s="31" t="s">
        <v>18</v>
      </c>
      <c r="T2" s="32" t="s">
        <v>283</v>
      </c>
      <c r="U2" s="32"/>
      <c r="V2" s="32"/>
      <c r="W2" s="32"/>
      <c r="X2" s="37"/>
      <c r="Y2" s="38"/>
      <c r="Z2" s="37"/>
      <c r="AA2" s="37"/>
      <c r="AB2" s="37"/>
      <c r="AC2" s="37"/>
    </row>
    <row r="3" spans="1:29" s="30" customFormat="1" ht="15.75" customHeight="1">
      <c r="A3" s="33" t="s">
        <v>19</v>
      </c>
      <c r="B3" s="33" t="s">
        <v>20</v>
      </c>
      <c r="C3" s="33" t="s">
        <v>21</v>
      </c>
      <c r="D3" s="33" t="s">
        <v>22</v>
      </c>
      <c r="E3" s="33" t="s">
        <v>23</v>
      </c>
      <c r="F3" s="33" t="s">
        <v>24</v>
      </c>
      <c r="G3" s="33">
        <v>74</v>
      </c>
      <c r="H3" s="33">
        <v>276</v>
      </c>
      <c r="I3" s="33">
        <v>7</v>
      </c>
      <c r="J3" s="34">
        <v>45995.51458333333</v>
      </c>
      <c r="K3" s="34">
        <v>46097.457638888889</v>
      </c>
      <c r="L3" s="34">
        <v>46106.668055555558</v>
      </c>
      <c r="M3" s="34">
        <v>46129.790972222225</v>
      </c>
      <c r="N3" s="34">
        <v>46168.475694444445</v>
      </c>
      <c r="O3" s="33">
        <v>276</v>
      </c>
      <c r="P3" s="33" t="s">
        <v>25</v>
      </c>
      <c r="Q3" s="33" t="s">
        <v>26</v>
      </c>
      <c r="R3" s="33" t="s">
        <v>25</v>
      </c>
      <c r="S3" s="33" t="s">
        <v>25</v>
      </c>
      <c r="T3" s="35" t="s">
        <v>276</v>
      </c>
      <c r="X3" s="36"/>
      <c r="Y3" s="39"/>
      <c r="Z3" s="36"/>
      <c r="AA3" s="36"/>
      <c r="AB3" s="36"/>
      <c r="AC3" s="36"/>
    </row>
    <row r="4" spans="1:29" s="30" customFormat="1" ht="15.75" customHeight="1">
      <c r="A4" s="33" t="s">
        <v>19</v>
      </c>
      <c r="B4" s="33" t="s">
        <v>27</v>
      </c>
      <c r="C4" s="33" t="s">
        <v>21</v>
      </c>
      <c r="D4" s="33" t="s">
        <v>22</v>
      </c>
      <c r="E4" s="33" t="s">
        <v>28</v>
      </c>
      <c r="F4" s="33" t="s">
        <v>24</v>
      </c>
      <c r="G4" s="33">
        <v>74</v>
      </c>
      <c r="H4" s="33">
        <f>O4</f>
        <v>192</v>
      </c>
      <c r="I4" s="33">
        <v>7</v>
      </c>
      <c r="J4" s="34">
        <v>45969.688194444447</v>
      </c>
      <c r="K4" s="34">
        <v>46010.888194444444</v>
      </c>
      <c r="L4" s="34">
        <v>46041.79583333333</v>
      </c>
      <c r="M4" s="34">
        <v>45993.402777777781</v>
      </c>
      <c r="N4" s="34">
        <v>46015.532638888886</v>
      </c>
      <c r="O4" s="33">
        <v>192</v>
      </c>
      <c r="P4" s="33" t="s">
        <v>25</v>
      </c>
      <c r="Q4" s="33" t="s">
        <v>26</v>
      </c>
      <c r="R4" s="33" t="s">
        <v>25</v>
      </c>
      <c r="S4" s="33" t="s">
        <v>25</v>
      </c>
      <c r="T4" s="35" t="s">
        <v>276</v>
      </c>
      <c r="X4" s="36"/>
      <c r="Y4" s="39"/>
      <c r="Z4" s="36"/>
      <c r="AA4" s="36"/>
      <c r="AB4" s="36"/>
      <c r="AC4" s="36"/>
    </row>
    <row r="5" spans="1:29" s="30" customFormat="1" ht="15.75" customHeight="1">
      <c r="A5" s="33" t="s">
        <v>19</v>
      </c>
      <c r="B5" s="33" t="s">
        <v>29</v>
      </c>
      <c r="C5" s="33" t="s">
        <v>21</v>
      </c>
      <c r="D5" s="33" t="s">
        <v>22</v>
      </c>
      <c r="E5" s="33" t="s">
        <v>30</v>
      </c>
      <c r="F5" s="33" t="s">
        <v>31</v>
      </c>
      <c r="G5" s="33">
        <v>74</v>
      </c>
      <c r="H5" s="33"/>
      <c r="I5" s="33">
        <v>6</v>
      </c>
      <c r="J5" s="34">
        <v>45979.695833333331</v>
      </c>
      <c r="K5" s="34">
        <v>46010.888194444444</v>
      </c>
      <c r="L5" s="34">
        <v>46041.79583333333</v>
      </c>
      <c r="M5" s="34">
        <v>45993.402777777781</v>
      </c>
      <c r="N5" s="33"/>
      <c r="O5" s="33">
        <v>194</v>
      </c>
      <c r="P5" s="33"/>
      <c r="Q5" s="33"/>
      <c r="R5" s="28" t="s">
        <v>25</v>
      </c>
      <c r="S5" s="33"/>
      <c r="X5" s="36"/>
      <c r="Y5" s="39"/>
      <c r="Z5" s="36"/>
      <c r="AA5" s="36"/>
      <c r="AB5" s="36"/>
      <c r="AC5" s="36"/>
    </row>
    <row r="6" spans="1:29" s="30" customFormat="1" ht="15.75" customHeight="1">
      <c r="A6" s="33" t="s">
        <v>19</v>
      </c>
      <c r="B6" s="33" t="s">
        <v>32</v>
      </c>
      <c r="C6" s="33" t="s">
        <v>21</v>
      </c>
      <c r="D6" s="33" t="s">
        <v>22</v>
      </c>
      <c r="E6" s="33" t="s">
        <v>23</v>
      </c>
      <c r="F6" s="33" t="s">
        <v>33</v>
      </c>
      <c r="G6" s="33">
        <v>74</v>
      </c>
      <c r="H6" s="33">
        <v>0</v>
      </c>
      <c r="I6" s="33">
        <v>6</v>
      </c>
      <c r="J6" s="34">
        <v>46181.633333333331</v>
      </c>
      <c r="K6" s="34">
        <v>46181.634722222225</v>
      </c>
      <c r="L6" s="34">
        <v>46182.679166666669</v>
      </c>
      <c r="M6" s="33"/>
      <c r="N6" s="33"/>
      <c r="O6" s="33">
        <v>240</v>
      </c>
      <c r="P6" s="33"/>
      <c r="Q6" s="33"/>
      <c r="R6" s="28" t="s">
        <v>25</v>
      </c>
      <c r="S6" s="33"/>
      <c r="X6" s="36"/>
      <c r="Y6" s="39"/>
      <c r="Z6" s="36"/>
      <c r="AA6" s="36"/>
      <c r="AB6" s="36"/>
      <c r="AC6" s="36"/>
    </row>
    <row r="7" spans="1:29" s="30" customFormat="1" ht="15.75" customHeight="1">
      <c r="A7" s="33" t="s">
        <v>19</v>
      </c>
      <c r="B7" s="33" t="s">
        <v>34</v>
      </c>
      <c r="C7" s="33" t="s">
        <v>21</v>
      </c>
      <c r="D7" s="33" t="s">
        <v>22</v>
      </c>
      <c r="E7" s="33" t="s">
        <v>28</v>
      </c>
      <c r="F7" s="33" t="s">
        <v>33</v>
      </c>
      <c r="G7" s="33">
        <v>74</v>
      </c>
      <c r="H7" s="33">
        <v>0</v>
      </c>
      <c r="I7" s="33">
        <v>6</v>
      </c>
      <c r="J7" s="34">
        <v>46188.442361111112</v>
      </c>
      <c r="K7" s="34">
        <v>46178.442361111112</v>
      </c>
      <c r="L7" s="34">
        <v>46182.679166666669</v>
      </c>
      <c r="M7" s="33"/>
      <c r="N7" s="33"/>
      <c r="O7" s="33">
        <v>192</v>
      </c>
      <c r="P7" s="33"/>
      <c r="Q7" s="33"/>
      <c r="R7" s="28" t="s">
        <v>25</v>
      </c>
      <c r="S7" s="33"/>
      <c r="X7" s="36"/>
      <c r="Y7" s="39"/>
      <c r="Z7" s="36"/>
      <c r="AA7" s="36"/>
      <c r="AB7" s="36"/>
      <c r="AC7" s="36"/>
    </row>
    <row r="8" spans="1:29" s="30" customFormat="1" ht="15.75" customHeight="1">
      <c r="A8" s="33" t="s">
        <v>19</v>
      </c>
      <c r="B8" s="33" t="s">
        <v>35</v>
      </c>
      <c r="C8" s="33" t="s">
        <v>21</v>
      </c>
      <c r="D8" s="33" t="s">
        <v>22</v>
      </c>
      <c r="E8" s="33" t="s">
        <v>30</v>
      </c>
      <c r="F8" s="33" t="s">
        <v>33</v>
      </c>
      <c r="G8" s="33">
        <v>74</v>
      </c>
      <c r="H8" s="33">
        <v>0</v>
      </c>
      <c r="I8" s="33">
        <v>4</v>
      </c>
      <c r="J8" s="34">
        <v>46097.742361111108</v>
      </c>
      <c r="K8" s="34">
        <v>46097.742361111108</v>
      </c>
      <c r="L8" s="34">
        <v>46191.724305555559</v>
      </c>
      <c r="M8" s="34"/>
      <c r="N8" s="33"/>
      <c r="O8" s="33">
        <v>30</v>
      </c>
      <c r="P8" s="33"/>
      <c r="Q8" s="33"/>
      <c r="R8" s="28" t="s">
        <v>25</v>
      </c>
      <c r="S8" s="33"/>
      <c r="X8" s="36"/>
      <c r="Y8" s="39"/>
      <c r="Z8" s="36"/>
      <c r="AA8" s="36"/>
      <c r="AB8" s="36"/>
      <c r="AC8" s="36"/>
    </row>
    <row r="9" spans="1:29" s="30" customFormat="1" ht="15.75" customHeight="1">
      <c r="A9" s="33" t="s">
        <v>36</v>
      </c>
      <c r="B9" s="33" t="s">
        <v>37</v>
      </c>
      <c r="C9" s="33" t="s">
        <v>38</v>
      </c>
      <c r="D9" s="33" t="s">
        <v>39</v>
      </c>
      <c r="E9" s="33" t="s">
        <v>23</v>
      </c>
      <c r="F9" s="33" t="s">
        <v>31</v>
      </c>
      <c r="G9" s="33">
        <v>80</v>
      </c>
      <c r="H9" s="33"/>
      <c r="I9" s="33">
        <v>5</v>
      </c>
      <c r="J9" s="34">
        <v>46032.375</v>
      </c>
      <c r="K9" s="34">
        <v>46054.416666666664</v>
      </c>
      <c r="L9" s="34">
        <v>46082.75</v>
      </c>
      <c r="M9" s="34">
        <v>46055.395833333336</v>
      </c>
      <c r="N9" s="33"/>
      <c r="O9" s="33">
        <v>180</v>
      </c>
      <c r="P9" s="33"/>
      <c r="Q9" s="33"/>
      <c r="R9" s="28" t="s">
        <v>25</v>
      </c>
      <c r="S9" s="33"/>
      <c r="X9" s="36"/>
      <c r="Y9" s="39"/>
      <c r="Z9" s="36"/>
      <c r="AA9" s="36"/>
      <c r="AB9" s="36"/>
      <c r="AC9" s="36"/>
    </row>
    <row r="10" spans="1:29" s="30" customFormat="1" ht="15.75" customHeight="1">
      <c r="A10" s="33" t="s">
        <v>36</v>
      </c>
      <c r="B10" s="33" t="s">
        <v>40</v>
      </c>
      <c r="C10" s="33" t="s">
        <v>38</v>
      </c>
      <c r="D10" s="33" t="s">
        <v>41</v>
      </c>
      <c r="E10" s="33" t="s">
        <v>30</v>
      </c>
      <c r="F10" s="33" t="s">
        <v>33</v>
      </c>
      <c r="G10" s="33">
        <v>80</v>
      </c>
      <c r="H10" s="33">
        <v>0</v>
      </c>
      <c r="I10" s="33">
        <v>11</v>
      </c>
      <c r="J10" s="34">
        <v>46068.479166666664</v>
      </c>
      <c r="K10" s="34">
        <v>46183.375</v>
      </c>
      <c r="L10" s="34">
        <v>46213.75</v>
      </c>
      <c r="M10" s="34"/>
      <c r="N10" s="34"/>
      <c r="O10" s="33">
        <v>210</v>
      </c>
      <c r="P10" s="33"/>
      <c r="Q10" s="33"/>
      <c r="R10" s="28" t="s">
        <v>25</v>
      </c>
      <c r="S10" s="33"/>
      <c r="X10" s="36"/>
      <c r="Y10" s="36"/>
      <c r="Z10" s="36"/>
      <c r="AA10" s="36"/>
      <c r="AB10" s="36"/>
      <c r="AC10" s="36"/>
    </row>
    <row r="11" spans="1:29" s="30" customFormat="1" ht="15.75" customHeight="1">
      <c r="A11" s="33" t="s">
        <v>36</v>
      </c>
      <c r="B11" s="33" t="s">
        <v>42</v>
      </c>
      <c r="C11" s="33" t="s">
        <v>38</v>
      </c>
      <c r="D11" s="33" t="s">
        <v>43</v>
      </c>
      <c r="E11" s="33" t="s">
        <v>23</v>
      </c>
      <c r="F11" s="33" t="s">
        <v>33</v>
      </c>
      <c r="G11" s="33">
        <v>80</v>
      </c>
      <c r="H11" s="33">
        <v>0</v>
      </c>
      <c r="I11" s="33">
        <v>4</v>
      </c>
      <c r="J11" s="34">
        <v>46082.416666666664</v>
      </c>
      <c r="K11" s="34">
        <v>46188.375</v>
      </c>
      <c r="L11" s="34">
        <v>46203.75</v>
      </c>
      <c r="M11" s="33"/>
      <c r="N11" s="33"/>
      <c r="O11" s="33">
        <v>120</v>
      </c>
      <c r="P11" s="33"/>
      <c r="Q11" s="33"/>
      <c r="R11" s="28" t="s">
        <v>25</v>
      </c>
      <c r="S11" s="33"/>
    </row>
    <row r="12" spans="1:29" s="30" customFormat="1" ht="15.75" customHeight="1">
      <c r="A12" s="33" t="s">
        <v>44</v>
      </c>
      <c r="B12" s="33" t="s">
        <v>45</v>
      </c>
      <c r="C12" s="33" t="s">
        <v>46</v>
      </c>
      <c r="D12" s="33" t="s">
        <v>47</v>
      </c>
      <c r="E12" s="33" t="s">
        <v>23</v>
      </c>
      <c r="F12" s="33" t="s">
        <v>24</v>
      </c>
      <c r="G12" s="33">
        <v>65</v>
      </c>
      <c r="H12" s="33">
        <f>O12</f>
        <v>80</v>
      </c>
      <c r="I12" s="33">
        <v>4</v>
      </c>
      <c r="J12" s="34">
        <v>45935.59375</v>
      </c>
      <c r="K12" s="34">
        <v>45962.375</v>
      </c>
      <c r="L12" s="34">
        <v>45976.75</v>
      </c>
      <c r="M12" s="34">
        <v>45962.385416666664</v>
      </c>
      <c r="N12" s="34">
        <v>45975.739583333336</v>
      </c>
      <c r="O12" s="33">
        <v>80</v>
      </c>
      <c r="P12" s="33" t="s">
        <v>48</v>
      </c>
      <c r="Q12" s="33" t="s">
        <v>26</v>
      </c>
      <c r="R12" s="33" t="s">
        <v>48</v>
      </c>
      <c r="S12" s="33" t="s">
        <v>48</v>
      </c>
      <c r="T12" s="35" t="s">
        <v>276</v>
      </c>
    </row>
    <row r="13" spans="1:29" s="30" customFormat="1" ht="15.75" customHeight="1">
      <c r="A13" s="33" t="s">
        <v>44</v>
      </c>
      <c r="B13" s="33" t="s">
        <v>49</v>
      </c>
      <c r="C13" s="33" t="s">
        <v>46</v>
      </c>
      <c r="D13" s="33" t="s">
        <v>50</v>
      </c>
      <c r="E13" s="33" t="s">
        <v>28</v>
      </c>
      <c r="F13" s="33" t="s">
        <v>33</v>
      </c>
      <c r="G13" s="33">
        <v>70</v>
      </c>
      <c r="H13" s="33">
        <v>0</v>
      </c>
      <c r="I13" s="33">
        <v>6</v>
      </c>
      <c r="J13" s="34">
        <v>46101.416666666664</v>
      </c>
      <c r="K13" s="34">
        <v>46174.375</v>
      </c>
      <c r="L13" s="34">
        <v>46188.75</v>
      </c>
      <c r="M13" s="34"/>
      <c r="N13" s="33"/>
      <c r="O13" s="33">
        <v>120</v>
      </c>
      <c r="P13" s="33"/>
      <c r="Q13" s="33"/>
      <c r="R13" s="28" t="s">
        <v>25</v>
      </c>
      <c r="S13" s="33"/>
    </row>
    <row r="14" spans="1:29" s="30" customFormat="1" ht="15.75" customHeight="1">
      <c r="A14" s="33" t="s">
        <v>44</v>
      </c>
      <c r="B14" s="33" t="s">
        <v>51</v>
      </c>
      <c r="C14" s="33" t="s">
        <v>46</v>
      </c>
      <c r="D14" s="33" t="s">
        <v>52</v>
      </c>
      <c r="E14" s="33" t="s">
        <v>23</v>
      </c>
      <c r="F14" s="33" t="s">
        <v>33</v>
      </c>
      <c r="G14" s="33">
        <v>65</v>
      </c>
      <c r="H14" s="33">
        <v>0</v>
      </c>
      <c r="I14" s="33">
        <v>6</v>
      </c>
      <c r="J14" s="34">
        <v>46113.458333333336</v>
      </c>
      <c r="K14" s="34">
        <v>46188.375</v>
      </c>
      <c r="L14" s="34">
        <v>46203.75</v>
      </c>
      <c r="M14" s="33"/>
      <c r="N14" s="33"/>
      <c r="O14" s="33">
        <v>90</v>
      </c>
      <c r="P14" s="33"/>
      <c r="Q14" s="33"/>
      <c r="R14" s="28" t="s">
        <v>25</v>
      </c>
      <c r="S14" s="33"/>
    </row>
    <row r="15" spans="1:29" s="30" customFormat="1" ht="15.75" customHeight="1">
      <c r="A15" s="33" t="s">
        <v>53</v>
      </c>
      <c r="B15" s="33" t="s">
        <v>54</v>
      </c>
      <c r="C15" s="33" t="s">
        <v>55</v>
      </c>
      <c r="D15" s="33" t="s">
        <v>56</v>
      </c>
      <c r="E15" s="33" t="s">
        <v>23</v>
      </c>
      <c r="F15" s="33" t="s">
        <v>24</v>
      </c>
      <c r="G15" s="33">
        <v>85</v>
      </c>
      <c r="H15" s="33">
        <f>O15</f>
        <v>64</v>
      </c>
      <c r="I15" s="33">
        <v>4</v>
      </c>
      <c r="J15" s="34">
        <v>46032.416666666664</v>
      </c>
      <c r="K15" s="34">
        <v>46054.375</v>
      </c>
      <c r="L15" s="34">
        <v>46063.75</v>
      </c>
      <c r="M15" s="34">
        <v>46054.385416666664</v>
      </c>
      <c r="N15" s="34">
        <v>46062.729166666664</v>
      </c>
      <c r="O15" s="33">
        <v>64</v>
      </c>
      <c r="P15" s="33" t="s">
        <v>48</v>
      </c>
      <c r="Q15" s="33" t="s">
        <v>26</v>
      </c>
      <c r="R15" s="33" t="s">
        <v>48</v>
      </c>
      <c r="S15" s="33" t="s">
        <v>48</v>
      </c>
      <c r="T15" s="35" t="s">
        <v>276</v>
      </c>
    </row>
    <row r="16" spans="1:29" s="30" customFormat="1" ht="15.75" customHeight="1">
      <c r="A16" s="33" t="s">
        <v>53</v>
      </c>
      <c r="B16" s="33" t="s">
        <v>57</v>
      </c>
      <c r="C16" s="33" t="s">
        <v>55</v>
      </c>
      <c r="D16" s="33" t="s">
        <v>58</v>
      </c>
      <c r="E16" s="33" t="s">
        <v>28</v>
      </c>
      <c r="F16" s="33" t="s">
        <v>31</v>
      </c>
      <c r="G16" s="33">
        <v>85</v>
      </c>
      <c r="H16" s="33"/>
      <c r="I16" s="33">
        <v>9</v>
      </c>
      <c r="J16" s="34">
        <v>46064.458333333336</v>
      </c>
      <c r="K16" s="34">
        <v>46188.375</v>
      </c>
      <c r="L16" s="34">
        <v>46218.75</v>
      </c>
      <c r="M16" s="34">
        <v>46069.416666666664</v>
      </c>
      <c r="N16" s="33"/>
      <c r="O16" s="33">
        <v>186</v>
      </c>
      <c r="P16" s="33"/>
      <c r="Q16" s="33"/>
      <c r="R16" s="28" t="s">
        <v>25</v>
      </c>
      <c r="S16" s="33"/>
    </row>
    <row r="17" spans="1:20" s="30" customFormat="1" ht="15.75" customHeight="1">
      <c r="A17" s="33" t="s">
        <v>53</v>
      </c>
      <c r="B17" s="33" t="s">
        <v>59</v>
      </c>
      <c r="C17" s="33" t="s">
        <v>55</v>
      </c>
      <c r="D17" s="33" t="s">
        <v>60</v>
      </c>
      <c r="E17" s="33" t="s">
        <v>28</v>
      </c>
      <c r="F17" s="33" t="s">
        <v>33</v>
      </c>
      <c r="G17" s="33">
        <v>85</v>
      </c>
      <c r="H17" s="33">
        <v>0</v>
      </c>
      <c r="I17" s="33">
        <v>6</v>
      </c>
      <c r="J17" s="34">
        <v>46082.583333333336</v>
      </c>
      <c r="K17" s="34">
        <v>46219.375</v>
      </c>
      <c r="L17" s="34">
        <v>46233.75</v>
      </c>
      <c r="M17" s="33"/>
      <c r="N17" s="33"/>
      <c r="O17" s="33">
        <v>114</v>
      </c>
      <c r="P17" s="33"/>
      <c r="Q17" s="33"/>
      <c r="R17" s="28" t="s">
        <v>25</v>
      </c>
      <c r="S17" s="33"/>
    </row>
    <row r="18" spans="1:20" s="30" customFormat="1" ht="15.75" customHeight="1">
      <c r="A18" s="33" t="s">
        <v>61</v>
      </c>
      <c r="B18" s="33" t="s">
        <v>62</v>
      </c>
      <c r="C18" s="33" t="s">
        <v>63</v>
      </c>
      <c r="D18" s="33" t="s">
        <v>64</v>
      </c>
      <c r="E18" s="33" t="s">
        <v>30</v>
      </c>
      <c r="F18" s="33" t="s">
        <v>24</v>
      </c>
      <c r="G18" s="33">
        <v>90</v>
      </c>
      <c r="H18" s="33">
        <f>O18</f>
        <v>96</v>
      </c>
      <c r="I18" s="33">
        <v>6</v>
      </c>
      <c r="J18" s="34">
        <v>45962.375</v>
      </c>
      <c r="K18" s="34">
        <v>45971.416666666664</v>
      </c>
      <c r="L18" s="34">
        <v>45992.75</v>
      </c>
      <c r="M18" s="34">
        <v>45971.416666666664</v>
      </c>
      <c r="N18" s="34">
        <v>45989.697916666664</v>
      </c>
      <c r="O18" s="33">
        <v>96</v>
      </c>
      <c r="P18" s="33" t="s">
        <v>48</v>
      </c>
      <c r="Q18" s="33" t="s">
        <v>26</v>
      </c>
      <c r="R18" s="33" t="s">
        <v>48</v>
      </c>
      <c r="S18" s="33" t="s">
        <v>48</v>
      </c>
      <c r="T18" s="35" t="s">
        <v>276</v>
      </c>
    </row>
    <row r="19" spans="1:20" s="30" customFormat="1" ht="15.75" customHeight="1">
      <c r="A19" s="33" t="s">
        <v>61</v>
      </c>
      <c r="B19" s="33" t="s">
        <v>65</v>
      </c>
      <c r="C19" s="33" t="s">
        <v>63</v>
      </c>
      <c r="D19" s="33" t="s">
        <v>66</v>
      </c>
      <c r="E19" s="33" t="s">
        <v>30</v>
      </c>
      <c r="F19" s="33" t="s">
        <v>31</v>
      </c>
      <c r="G19" s="33">
        <v>90</v>
      </c>
      <c r="H19" s="33"/>
      <c r="I19" s="33">
        <v>8</v>
      </c>
      <c r="J19" s="34">
        <v>45992.416666666664</v>
      </c>
      <c r="K19" s="34">
        <v>46001.375</v>
      </c>
      <c r="L19" s="34">
        <v>46047.75</v>
      </c>
      <c r="M19" s="34">
        <v>46006.458333333336</v>
      </c>
      <c r="N19" s="33"/>
      <c r="O19" s="33">
        <v>324</v>
      </c>
      <c r="P19" s="33"/>
      <c r="Q19" s="33"/>
      <c r="R19" s="28" t="s">
        <v>25</v>
      </c>
      <c r="S19" s="33"/>
    </row>
    <row r="20" spans="1:20" s="30" customFormat="1" ht="15.75" customHeight="1">
      <c r="A20" s="33" t="s">
        <v>61</v>
      </c>
      <c r="B20" s="33" t="s">
        <v>67</v>
      </c>
      <c r="C20" s="33" t="s">
        <v>63</v>
      </c>
      <c r="D20" s="33" t="s">
        <v>68</v>
      </c>
      <c r="E20" s="33" t="s">
        <v>30</v>
      </c>
      <c r="F20" s="33" t="s">
        <v>33</v>
      </c>
      <c r="G20" s="33">
        <v>90</v>
      </c>
      <c r="H20" s="33">
        <v>0</v>
      </c>
      <c r="I20" s="33">
        <v>6</v>
      </c>
      <c r="J20" s="34">
        <v>46037.479166666664</v>
      </c>
      <c r="K20" s="34">
        <v>46188.375</v>
      </c>
      <c r="L20" s="34">
        <v>46204.75</v>
      </c>
      <c r="M20" s="34"/>
      <c r="N20" s="33"/>
      <c r="O20" s="33">
        <v>80</v>
      </c>
      <c r="P20" s="33"/>
      <c r="Q20" s="33"/>
      <c r="R20" s="28" t="s">
        <v>25</v>
      </c>
      <c r="S20" s="33"/>
    </row>
    <row r="21" spans="1:20" s="30" customFormat="1" ht="15.75" customHeight="1">
      <c r="A21" s="33" t="s">
        <v>69</v>
      </c>
      <c r="B21" s="33" t="s">
        <v>70</v>
      </c>
      <c r="C21" s="33" t="s">
        <v>71</v>
      </c>
      <c r="D21" s="33" t="s">
        <v>72</v>
      </c>
      <c r="E21" s="33" t="s">
        <v>23</v>
      </c>
      <c r="F21" s="33" t="s">
        <v>24</v>
      </c>
      <c r="G21" s="33">
        <v>95</v>
      </c>
      <c r="H21" s="33">
        <f>O21</f>
        <v>150</v>
      </c>
      <c r="I21" s="33">
        <v>6</v>
      </c>
      <c r="J21" s="34">
        <v>46006.5</v>
      </c>
      <c r="K21" s="34">
        <v>46032.375</v>
      </c>
      <c r="L21" s="34">
        <v>46047.75</v>
      </c>
      <c r="M21" s="34">
        <v>46033.416666666664</v>
      </c>
      <c r="N21" s="34">
        <v>46048.791666666664</v>
      </c>
      <c r="O21" s="33">
        <v>150</v>
      </c>
      <c r="P21" s="33" t="s">
        <v>25</v>
      </c>
      <c r="Q21" s="33" t="s">
        <v>26</v>
      </c>
      <c r="R21" s="33" t="s">
        <v>25</v>
      </c>
      <c r="S21" s="33" t="s">
        <v>25</v>
      </c>
      <c r="T21" s="35" t="s">
        <v>276</v>
      </c>
    </row>
    <row r="22" spans="1:20" s="30" customFormat="1" ht="15.75" customHeight="1">
      <c r="A22" s="33" t="s">
        <v>69</v>
      </c>
      <c r="B22" s="33" t="s">
        <v>73</v>
      </c>
      <c r="C22" s="33" t="s">
        <v>71</v>
      </c>
      <c r="D22" s="33" t="s">
        <v>74</v>
      </c>
      <c r="E22" s="33" t="s">
        <v>23</v>
      </c>
      <c r="F22" s="33" t="s">
        <v>33</v>
      </c>
      <c r="G22" s="33">
        <v>95</v>
      </c>
      <c r="H22" s="33">
        <v>0</v>
      </c>
      <c r="I22" s="33">
        <v>9</v>
      </c>
      <c r="J22" s="34">
        <v>46042.604166666664</v>
      </c>
      <c r="K22" s="34">
        <v>46188.375</v>
      </c>
      <c r="L22" s="34">
        <v>46218.75</v>
      </c>
      <c r="M22" s="34"/>
      <c r="N22" s="34"/>
      <c r="O22" s="33">
        <v>216</v>
      </c>
      <c r="P22" s="33"/>
      <c r="Q22" s="33"/>
      <c r="R22" s="28" t="s">
        <v>25</v>
      </c>
      <c r="S22" s="33"/>
    </row>
    <row r="23" spans="1:20" s="30" customFormat="1" ht="15.75" customHeight="1">
      <c r="A23" s="33" t="s">
        <v>69</v>
      </c>
      <c r="B23" s="33" t="s">
        <v>75</v>
      </c>
      <c r="C23" s="33" t="s">
        <v>71</v>
      </c>
      <c r="D23" s="33" t="s">
        <v>76</v>
      </c>
      <c r="E23" s="33" t="s">
        <v>23</v>
      </c>
      <c r="F23" s="33" t="s">
        <v>33</v>
      </c>
      <c r="G23" s="33">
        <v>95</v>
      </c>
      <c r="H23" s="33">
        <v>0</v>
      </c>
      <c r="I23" s="33">
        <v>4</v>
      </c>
      <c r="J23" s="34">
        <v>46082.375</v>
      </c>
      <c r="K23" s="34">
        <v>46219.375</v>
      </c>
      <c r="L23" s="34">
        <v>46233.75</v>
      </c>
      <c r="M23" s="33"/>
      <c r="N23" s="33"/>
      <c r="O23" s="33">
        <v>100</v>
      </c>
      <c r="P23" s="33"/>
      <c r="Q23" s="33"/>
      <c r="R23" s="28" t="s">
        <v>25</v>
      </c>
      <c r="S23" s="33"/>
    </row>
    <row r="24" spans="1:20" s="30" customFormat="1" ht="15.75" customHeight="1">
      <c r="A24" s="33" t="s">
        <v>77</v>
      </c>
      <c r="B24" s="33" t="s">
        <v>78</v>
      </c>
      <c r="C24" s="33" t="s">
        <v>79</v>
      </c>
      <c r="D24" s="33" t="s">
        <v>80</v>
      </c>
      <c r="E24" s="33" t="s">
        <v>81</v>
      </c>
      <c r="F24" s="33" t="s">
        <v>31</v>
      </c>
      <c r="G24" s="33">
        <v>88</v>
      </c>
      <c r="H24" s="33"/>
      <c r="I24" s="33">
        <v>6</v>
      </c>
      <c r="J24" s="34">
        <v>46063.416666666664</v>
      </c>
      <c r="K24" s="34">
        <v>46082.375</v>
      </c>
      <c r="L24" s="34">
        <v>46113.75</v>
      </c>
      <c r="M24" s="34">
        <v>46083.375</v>
      </c>
      <c r="N24" s="33"/>
      <c r="O24" s="33">
        <v>160</v>
      </c>
      <c r="P24" s="33"/>
      <c r="Q24" s="33"/>
      <c r="R24" s="28" t="s">
        <v>25</v>
      </c>
      <c r="S24" s="33"/>
    </row>
    <row r="25" spans="1:20" s="30" customFormat="1" ht="15.75" customHeight="1">
      <c r="A25" s="33" t="s">
        <v>77</v>
      </c>
      <c r="B25" s="33" t="s">
        <v>82</v>
      </c>
      <c r="C25" s="33" t="s">
        <v>79</v>
      </c>
      <c r="D25" s="33" t="s">
        <v>83</v>
      </c>
      <c r="E25" s="33" t="s">
        <v>81</v>
      </c>
      <c r="F25" s="33" t="s">
        <v>33</v>
      </c>
      <c r="G25" s="33">
        <v>92</v>
      </c>
      <c r="H25" s="33">
        <v>0</v>
      </c>
      <c r="I25" s="33">
        <v>13</v>
      </c>
      <c r="J25" s="34">
        <v>46082.458333333336</v>
      </c>
      <c r="K25" s="34">
        <v>46188.375</v>
      </c>
      <c r="L25" s="34">
        <v>46218.75</v>
      </c>
      <c r="M25" s="33"/>
      <c r="N25" s="33"/>
      <c r="O25" s="33">
        <v>240</v>
      </c>
      <c r="P25" s="33"/>
      <c r="Q25" s="33"/>
      <c r="R25" s="28" t="s">
        <v>25</v>
      </c>
      <c r="S25" s="33"/>
    </row>
    <row r="26" spans="1:20" s="30" customFormat="1" ht="15.75" customHeight="1">
      <c r="A26" s="33" t="s">
        <v>77</v>
      </c>
      <c r="B26" s="33" t="s">
        <v>84</v>
      </c>
      <c r="C26" s="33" t="s">
        <v>79</v>
      </c>
      <c r="D26" s="33" t="s">
        <v>85</v>
      </c>
      <c r="E26" s="33" t="s">
        <v>81</v>
      </c>
      <c r="F26" s="33" t="s">
        <v>33</v>
      </c>
      <c r="G26" s="33">
        <v>88</v>
      </c>
      <c r="H26" s="33">
        <v>0</v>
      </c>
      <c r="I26" s="33">
        <v>6</v>
      </c>
      <c r="J26" s="34">
        <v>46096.583333333336</v>
      </c>
      <c r="K26" s="34">
        <v>46188.375</v>
      </c>
      <c r="L26" s="34">
        <v>46203.75</v>
      </c>
      <c r="M26" s="34"/>
      <c r="N26" s="34"/>
      <c r="O26" s="33">
        <v>110</v>
      </c>
      <c r="P26" s="33"/>
      <c r="Q26" s="33"/>
      <c r="R26" s="28" t="s">
        <v>25</v>
      </c>
      <c r="S26" s="33"/>
    </row>
    <row r="27" spans="1:20" s="30" customFormat="1" ht="15.75" customHeight="1">
      <c r="A27" s="33" t="s">
        <v>86</v>
      </c>
      <c r="B27" s="33" t="s">
        <v>87</v>
      </c>
      <c r="C27" s="33" t="s">
        <v>88</v>
      </c>
      <c r="D27" s="33" t="s">
        <v>89</v>
      </c>
      <c r="E27" s="33" t="s">
        <v>90</v>
      </c>
      <c r="F27" s="33" t="s">
        <v>24</v>
      </c>
      <c r="G27" s="33">
        <v>71</v>
      </c>
      <c r="H27" s="33">
        <f>O27</f>
        <v>110</v>
      </c>
      <c r="I27" s="33">
        <v>5</v>
      </c>
      <c r="J27" s="34">
        <v>45942.375</v>
      </c>
      <c r="K27" s="34">
        <v>45962.375</v>
      </c>
      <c r="L27" s="34">
        <v>45981.75</v>
      </c>
      <c r="M27" s="34">
        <v>45963.416666666664</v>
      </c>
      <c r="N27" s="34">
        <v>45980.645833333336</v>
      </c>
      <c r="O27" s="33">
        <v>110</v>
      </c>
      <c r="P27" s="33" t="s">
        <v>91</v>
      </c>
      <c r="Q27" s="33" t="s">
        <v>26</v>
      </c>
      <c r="R27" s="33" t="s">
        <v>91</v>
      </c>
      <c r="S27" s="33" t="s">
        <v>91</v>
      </c>
      <c r="T27" s="35" t="s">
        <v>276</v>
      </c>
    </row>
    <row r="28" spans="1:20" s="30" customFormat="1" ht="15.75" customHeight="1">
      <c r="A28" s="33" t="s">
        <v>86</v>
      </c>
      <c r="B28" s="33" t="s">
        <v>92</v>
      </c>
      <c r="C28" s="33" t="s">
        <v>88</v>
      </c>
      <c r="D28" s="33" t="s">
        <v>93</v>
      </c>
      <c r="E28" s="33" t="s">
        <v>90</v>
      </c>
      <c r="F28" s="33" t="s">
        <v>33</v>
      </c>
      <c r="G28" s="33">
        <v>71</v>
      </c>
      <c r="H28" s="33">
        <v>0</v>
      </c>
      <c r="I28" s="33">
        <v>6</v>
      </c>
      <c r="J28" s="34">
        <v>46068.416666666664</v>
      </c>
      <c r="K28" s="34">
        <v>46188.375</v>
      </c>
      <c r="L28" s="34">
        <v>46203.75</v>
      </c>
      <c r="M28" s="33"/>
      <c r="N28" s="33"/>
      <c r="O28" s="33">
        <v>130</v>
      </c>
      <c r="P28" s="33"/>
      <c r="Q28" s="33"/>
      <c r="R28" s="28" t="s">
        <v>25</v>
      </c>
      <c r="S28" s="33"/>
    </row>
    <row r="29" spans="1:20" s="30" customFormat="1" ht="15.75" customHeight="1">
      <c r="A29" s="33" t="s">
        <v>86</v>
      </c>
      <c r="B29" s="33" t="s">
        <v>94</v>
      </c>
      <c r="C29" s="33" t="s">
        <v>88</v>
      </c>
      <c r="D29" s="33" t="s">
        <v>95</v>
      </c>
      <c r="E29" s="33" t="s">
        <v>90</v>
      </c>
      <c r="F29" s="33" t="s">
        <v>33</v>
      </c>
      <c r="G29" s="33">
        <v>65</v>
      </c>
      <c r="H29" s="33">
        <v>0</v>
      </c>
      <c r="I29" s="33">
        <v>3</v>
      </c>
      <c r="J29" s="34">
        <v>46082.458333333336</v>
      </c>
      <c r="K29" s="34">
        <v>46204.375</v>
      </c>
      <c r="L29" s="34">
        <v>46218.75</v>
      </c>
      <c r="M29" s="33"/>
      <c r="N29" s="33"/>
      <c r="O29" s="33">
        <v>70</v>
      </c>
      <c r="P29" s="33"/>
      <c r="Q29" s="33"/>
      <c r="R29" s="28" t="s">
        <v>25</v>
      </c>
      <c r="S29" s="33"/>
    </row>
    <row r="30" spans="1:20" s="30" customFormat="1" ht="15.75" customHeight="1">
      <c r="A30" s="33" t="s">
        <v>96</v>
      </c>
      <c r="B30" s="33" t="s">
        <v>97</v>
      </c>
      <c r="C30" s="33" t="s">
        <v>98</v>
      </c>
      <c r="D30" s="33" t="s">
        <v>99</v>
      </c>
      <c r="E30" s="33" t="s">
        <v>90</v>
      </c>
      <c r="F30" s="33" t="s">
        <v>33</v>
      </c>
      <c r="G30" s="33">
        <v>78</v>
      </c>
      <c r="H30" s="33">
        <v>0</v>
      </c>
      <c r="I30" s="33">
        <v>13</v>
      </c>
      <c r="J30" s="34">
        <v>46073.583333333336</v>
      </c>
      <c r="K30" s="34">
        <v>46188.375</v>
      </c>
      <c r="L30" s="34">
        <v>46235.75</v>
      </c>
      <c r="M30" s="33"/>
      <c r="N30" s="33"/>
      <c r="O30" s="33">
        <v>340</v>
      </c>
      <c r="P30" s="33"/>
      <c r="Q30" s="33"/>
      <c r="R30" s="28" t="s">
        <v>25</v>
      </c>
      <c r="S30" s="33"/>
    </row>
    <row r="31" spans="1:20" s="30" customFormat="1" ht="15.75" customHeight="1">
      <c r="A31" s="33" t="s">
        <v>96</v>
      </c>
      <c r="B31" s="33" t="s">
        <v>100</v>
      </c>
      <c r="C31" s="33" t="s">
        <v>98</v>
      </c>
      <c r="D31" s="33" t="s">
        <v>101</v>
      </c>
      <c r="E31" s="33" t="s">
        <v>90</v>
      </c>
      <c r="F31" s="33" t="s">
        <v>33</v>
      </c>
      <c r="G31" s="33">
        <v>78</v>
      </c>
      <c r="H31" s="33">
        <v>0</v>
      </c>
      <c r="I31" s="33">
        <v>6</v>
      </c>
      <c r="J31" s="34">
        <v>46082.416666666664</v>
      </c>
      <c r="K31" s="34">
        <v>46188.375</v>
      </c>
      <c r="L31" s="34">
        <v>46218.75</v>
      </c>
      <c r="M31" s="33"/>
      <c r="N31" s="33"/>
      <c r="O31" s="33">
        <v>180</v>
      </c>
      <c r="P31" s="33"/>
      <c r="Q31" s="33"/>
      <c r="R31" s="28" t="s">
        <v>25</v>
      </c>
      <c r="S31" s="33"/>
    </row>
    <row r="32" spans="1:20" s="30" customFormat="1" ht="15.75" customHeight="1">
      <c r="A32" s="33" t="s">
        <v>96</v>
      </c>
      <c r="B32" s="33" t="s">
        <v>102</v>
      </c>
      <c r="C32" s="33" t="s">
        <v>98</v>
      </c>
      <c r="D32" s="33" t="s">
        <v>103</v>
      </c>
      <c r="E32" s="33" t="s">
        <v>90</v>
      </c>
      <c r="F32" s="33" t="s">
        <v>33</v>
      </c>
      <c r="G32" s="33">
        <v>72</v>
      </c>
      <c r="H32" s="33">
        <v>0</v>
      </c>
      <c r="I32" s="33">
        <v>6</v>
      </c>
      <c r="J32" s="34">
        <v>46096.625</v>
      </c>
      <c r="K32" s="34">
        <v>46219.375</v>
      </c>
      <c r="L32" s="34">
        <v>46235.75</v>
      </c>
      <c r="M32" s="33"/>
      <c r="N32" s="33"/>
      <c r="O32" s="33">
        <v>120</v>
      </c>
      <c r="P32" s="33"/>
      <c r="Q32" s="33"/>
      <c r="R32" s="28" t="s">
        <v>25</v>
      </c>
      <c r="S32" s="33"/>
    </row>
    <row r="33" spans="1:20" s="30" customFormat="1" ht="15.75" customHeight="1">
      <c r="A33" s="33" t="s">
        <v>104</v>
      </c>
      <c r="B33" s="33" t="s">
        <v>105</v>
      </c>
      <c r="C33" s="33" t="s">
        <v>106</v>
      </c>
      <c r="D33" s="33" t="s">
        <v>107</v>
      </c>
      <c r="E33" s="33" t="s">
        <v>108</v>
      </c>
      <c r="F33" s="33" t="s">
        <v>31</v>
      </c>
      <c r="G33" s="33">
        <v>83</v>
      </c>
      <c r="H33" s="33"/>
      <c r="I33" s="33">
        <v>6</v>
      </c>
      <c r="J33" s="34">
        <v>46037.416666666664</v>
      </c>
      <c r="K33" s="34">
        <v>46068.375</v>
      </c>
      <c r="L33" s="34">
        <v>46127.75</v>
      </c>
      <c r="M33" s="34">
        <v>46070.395833333336</v>
      </c>
      <c r="N33" s="33"/>
      <c r="O33" s="33">
        <v>220</v>
      </c>
      <c r="P33" s="33"/>
      <c r="Q33" s="33"/>
      <c r="R33" s="28" t="s">
        <v>25</v>
      </c>
      <c r="S33" s="33"/>
    </row>
    <row r="34" spans="1:20" s="30" customFormat="1" ht="15.75" customHeight="1">
      <c r="A34" s="33" t="s">
        <v>104</v>
      </c>
      <c r="B34" s="33" t="s">
        <v>109</v>
      </c>
      <c r="C34" s="33" t="s">
        <v>106</v>
      </c>
      <c r="D34" s="33" t="s">
        <v>110</v>
      </c>
      <c r="E34" s="33" t="s">
        <v>108</v>
      </c>
      <c r="F34" s="33" t="s">
        <v>33</v>
      </c>
      <c r="G34" s="33">
        <v>83</v>
      </c>
      <c r="H34" s="33">
        <v>0</v>
      </c>
      <c r="I34" s="33">
        <v>6</v>
      </c>
      <c r="J34" s="34">
        <v>46073.458333333336</v>
      </c>
      <c r="K34" s="34">
        <v>46188.375</v>
      </c>
      <c r="L34" s="34">
        <v>46203.75</v>
      </c>
      <c r="M34" s="33"/>
      <c r="N34" s="33"/>
      <c r="O34" s="33">
        <v>150</v>
      </c>
      <c r="P34" s="33"/>
      <c r="Q34" s="33"/>
      <c r="R34" s="28" t="s">
        <v>25</v>
      </c>
      <c r="S34" s="33"/>
    </row>
    <row r="35" spans="1:20" s="30" customFormat="1" ht="15.75" customHeight="1">
      <c r="A35" s="33" t="s">
        <v>104</v>
      </c>
      <c r="B35" s="33" t="s">
        <v>111</v>
      </c>
      <c r="C35" s="33" t="s">
        <v>106</v>
      </c>
      <c r="D35" s="33" t="s">
        <v>112</v>
      </c>
      <c r="E35" s="33" t="s">
        <v>108</v>
      </c>
      <c r="F35" s="33" t="s">
        <v>33</v>
      </c>
      <c r="G35" s="33">
        <v>75</v>
      </c>
      <c r="H35" s="33">
        <v>0</v>
      </c>
      <c r="I35" s="33">
        <v>4</v>
      </c>
      <c r="J35" s="34">
        <v>46082.5</v>
      </c>
      <c r="K35" s="34">
        <v>46204.375</v>
      </c>
      <c r="L35" s="34">
        <v>46218.75</v>
      </c>
      <c r="M35" s="33"/>
      <c r="N35" s="33"/>
      <c r="O35" s="33">
        <v>90</v>
      </c>
      <c r="P35" s="33"/>
      <c r="Q35" s="33"/>
      <c r="R35" s="28" t="s">
        <v>25</v>
      </c>
      <c r="S35" s="33"/>
    </row>
    <row r="36" spans="1:20" ht="15.75" customHeight="1">
      <c r="A36" s="33" t="s">
        <v>113</v>
      </c>
      <c r="B36" s="33" t="s">
        <v>114</v>
      </c>
      <c r="C36" s="33" t="s">
        <v>115</v>
      </c>
      <c r="D36" s="33" t="s">
        <v>116</v>
      </c>
      <c r="E36" s="33" t="s">
        <v>108</v>
      </c>
      <c r="F36" s="33" t="s">
        <v>33</v>
      </c>
      <c r="G36" s="33">
        <v>67</v>
      </c>
      <c r="H36" s="33">
        <v>0</v>
      </c>
      <c r="I36" s="33">
        <v>5</v>
      </c>
      <c r="J36" s="34">
        <v>46091.46875</v>
      </c>
      <c r="K36" s="34">
        <v>46193.375</v>
      </c>
      <c r="L36" s="34">
        <v>46213.75</v>
      </c>
      <c r="M36" s="33"/>
      <c r="N36" s="33"/>
      <c r="O36" s="33">
        <v>130</v>
      </c>
      <c r="P36" s="33"/>
      <c r="Q36" s="33"/>
      <c r="R36" s="28" t="s">
        <v>25</v>
      </c>
      <c r="S36" s="33"/>
      <c r="T36" s="30"/>
    </row>
    <row r="37" spans="1:20" ht="15.75" customHeight="1">
      <c r="A37" s="33" t="s">
        <v>113</v>
      </c>
      <c r="B37" s="33" t="s">
        <v>117</v>
      </c>
      <c r="C37" s="33" t="s">
        <v>115</v>
      </c>
      <c r="D37" s="33" t="s">
        <v>118</v>
      </c>
      <c r="E37" s="33" t="s">
        <v>108</v>
      </c>
      <c r="F37" s="33" t="s">
        <v>33</v>
      </c>
      <c r="G37" s="33">
        <v>67</v>
      </c>
      <c r="H37" s="33">
        <v>0</v>
      </c>
      <c r="I37" s="33">
        <v>5</v>
      </c>
      <c r="J37" s="34">
        <v>46096.416666666664</v>
      </c>
      <c r="K37" s="34">
        <v>46204.375</v>
      </c>
      <c r="L37" s="34">
        <v>46223.75</v>
      </c>
      <c r="M37" s="33"/>
      <c r="N37" s="33"/>
      <c r="O37" s="33">
        <v>160</v>
      </c>
      <c r="P37" s="33"/>
      <c r="Q37" s="33"/>
      <c r="R37" s="28" t="s">
        <v>25</v>
      </c>
      <c r="S37" s="33"/>
      <c r="T37" s="30"/>
    </row>
    <row r="38" spans="1:20" ht="15.75" customHeight="1">
      <c r="A38" s="33" t="s">
        <v>119</v>
      </c>
      <c r="B38" s="33" t="s">
        <v>120</v>
      </c>
      <c r="C38" s="33" t="s">
        <v>121</v>
      </c>
      <c r="D38" s="33" t="s">
        <v>122</v>
      </c>
      <c r="E38" s="33" t="s">
        <v>30</v>
      </c>
      <c r="F38" s="33" t="s">
        <v>24</v>
      </c>
      <c r="G38" s="33">
        <v>89</v>
      </c>
      <c r="H38" s="33">
        <f>O38</f>
        <v>90</v>
      </c>
      <c r="I38" s="33">
        <v>3</v>
      </c>
      <c r="J38" s="34">
        <v>45901.375</v>
      </c>
      <c r="K38" s="34">
        <v>45915.375</v>
      </c>
      <c r="L38" s="34">
        <v>45945.75</v>
      </c>
      <c r="M38" s="34">
        <v>45915.375</v>
      </c>
      <c r="N38" s="34">
        <v>45944.75</v>
      </c>
      <c r="O38" s="33">
        <v>90</v>
      </c>
      <c r="P38" s="33" t="s">
        <v>25</v>
      </c>
      <c r="Q38" s="33" t="s">
        <v>26</v>
      </c>
      <c r="R38" s="28" t="s">
        <v>25</v>
      </c>
      <c r="S38" s="33" t="s">
        <v>25</v>
      </c>
      <c r="T38" s="35" t="s">
        <v>276</v>
      </c>
    </row>
    <row r="39" spans="1:20" ht="15.75" customHeight="1">
      <c r="A39" s="33" t="s">
        <v>119</v>
      </c>
      <c r="B39" s="33" t="s">
        <v>123</v>
      </c>
      <c r="C39" s="33" t="s">
        <v>121</v>
      </c>
      <c r="D39" s="33" t="s">
        <v>124</v>
      </c>
      <c r="E39" s="33" t="s">
        <v>30</v>
      </c>
      <c r="F39" s="33" t="s">
        <v>33</v>
      </c>
      <c r="G39" s="33">
        <v>89</v>
      </c>
      <c r="H39" s="33">
        <v>0</v>
      </c>
      <c r="I39" s="33">
        <v>6</v>
      </c>
      <c r="J39" s="34">
        <v>46068.458333333336</v>
      </c>
      <c r="K39" s="34">
        <v>46188.375</v>
      </c>
      <c r="L39" s="34">
        <v>46203.75</v>
      </c>
      <c r="M39" s="33"/>
      <c r="N39" s="33"/>
      <c r="O39" s="33">
        <v>140</v>
      </c>
      <c r="P39" s="33"/>
      <c r="Q39" s="33"/>
      <c r="R39" s="28" t="s">
        <v>25</v>
      </c>
      <c r="S39" s="33"/>
      <c r="T39" s="30"/>
    </row>
    <row r="40" spans="1:20" ht="15.75" customHeight="1">
      <c r="A40" s="33" t="s">
        <v>119</v>
      </c>
      <c r="B40" s="33" t="s">
        <v>125</v>
      </c>
      <c r="C40" s="33" t="s">
        <v>121</v>
      </c>
      <c r="D40" s="33" t="s">
        <v>126</v>
      </c>
      <c r="E40" s="33" t="s">
        <v>30</v>
      </c>
      <c r="F40" s="33" t="s">
        <v>33</v>
      </c>
      <c r="G40" s="33">
        <v>80</v>
      </c>
      <c r="H40" s="33">
        <v>0</v>
      </c>
      <c r="I40" s="33">
        <v>4</v>
      </c>
      <c r="J40" s="34">
        <v>46082.416666666664</v>
      </c>
      <c r="K40" s="34">
        <v>46204.375</v>
      </c>
      <c r="L40" s="34">
        <v>46218.75</v>
      </c>
      <c r="M40" s="33"/>
      <c r="N40" s="33"/>
      <c r="O40" s="33">
        <v>100</v>
      </c>
      <c r="P40" s="33"/>
      <c r="Q40" s="33"/>
      <c r="R40" s="28" t="s">
        <v>25</v>
      </c>
      <c r="S40" s="33"/>
      <c r="T40" s="30"/>
    </row>
    <row r="41" spans="1:20" ht="15.75" customHeight="1">
      <c r="A41" s="33" t="s">
        <v>127</v>
      </c>
      <c r="B41" s="33" t="s">
        <v>128</v>
      </c>
      <c r="C41" s="33" t="s">
        <v>129</v>
      </c>
      <c r="D41" s="33" t="s">
        <v>130</v>
      </c>
      <c r="E41" s="33" t="s">
        <v>28</v>
      </c>
      <c r="F41" s="33" t="s">
        <v>33</v>
      </c>
      <c r="G41" s="33">
        <v>81</v>
      </c>
      <c r="H41" s="33">
        <v>0</v>
      </c>
      <c r="I41" s="33">
        <v>9</v>
      </c>
      <c r="J41" s="34">
        <v>46096.5</v>
      </c>
      <c r="K41" s="34">
        <v>46188.375</v>
      </c>
      <c r="L41" s="34">
        <v>46218.75</v>
      </c>
      <c r="M41" s="33"/>
      <c r="N41" s="33"/>
      <c r="O41" s="33">
        <v>180</v>
      </c>
      <c r="P41" s="33"/>
      <c r="Q41" s="33"/>
      <c r="R41" s="28" t="s">
        <v>25</v>
      </c>
      <c r="S41" s="33"/>
      <c r="T41" s="30"/>
    </row>
    <row r="42" spans="1:20" ht="15.75" customHeight="1">
      <c r="A42" s="33" t="s">
        <v>127</v>
      </c>
      <c r="B42" s="33" t="s">
        <v>131</v>
      </c>
      <c r="C42" s="33" t="s">
        <v>129</v>
      </c>
      <c r="D42" s="33" t="s">
        <v>132</v>
      </c>
      <c r="E42" s="33" t="s">
        <v>28</v>
      </c>
      <c r="F42" s="33" t="s">
        <v>33</v>
      </c>
      <c r="G42" s="33">
        <v>81</v>
      </c>
      <c r="H42" s="33">
        <v>0</v>
      </c>
      <c r="I42" s="33">
        <v>7</v>
      </c>
      <c r="J42" s="34">
        <v>46101.604166666664</v>
      </c>
      <c r="K42" s="34">
        <v>46204.375</v>
      </c>
      <c r="L42" s="34">
        <v>46223.75</v>
      </c>
      <c r="M42" s="33"/>
      <c r="N42" s="33"/>
      <c r="O42" s="33">
        <v>210</v>
      </c>
      <c r="P42" s="33"/>
      <c r="Q42" s="33"/>
      <c r="R42" s="28" t="s">
        <v>25</v>
      </c>
      <c r="S42" s="33"/>
      <c r="T42" s="30"/>
    </row>
    <row r="43" spans="1:20" ht="15.75" customHeight="1">
      <c r="A43" s="33" t="s">
        <v>133</v>
      </c>
      <c r="B43" s="33" t="s">
        <v>134</v>
      </c>
      <c r="C43" s="33" t="s">
        <v>135</v>
      </c>
      <c r="D43" s="33" t="s">
        <v>136</v>
      </c>
      <c r="E43" s="33" t="s">
        <v>81</v>
      </c>
      <c r="F43" s="33" t="s">
        <v>33</v>
      </c>
      <c r="G43" s="33">
        <v>94</v>
      </c>
      <c r="H43" s="33">
        <v>0</v>
      </c>
      <c r="I43" s="33">
        <v>5</v>
      </c>
      <c r="J43" s="34">
        <v>46113.416666666664</v>
      </c>
      <c r="K43" s="34">
        <v>46195.375</v>
      </c>
      <c r="L43" s="34">
        <v>46218.75</v>
      </c>
      <c r="M43" s="33"/>
      <c r="N43" s="33"/>
      <c r="O43" s="33">
        <v>140</v>
      </c>
      <c r="P43" s="33"/>
      <c r="Q43" s="33"/>
      <c r="R43" s="28" t="s">
        <v>25</v>
      </c>
      <c r="S43" s="33"/>
      <c r="T43" s="30"/>
    </row>
    <row r="44" spans="1:20" ht="15.75" customHeight="1">
      <c r="A44" s="33" t="s">
        <v>133</v>
      </c>
      <c r="B44" s="33" t="s">
        <v>137</v>
      </c>
      <c r="C44" s="33" t="s">
        <v>135</v>
      </c>
      <c r="D44" s="33" t="s">
        <v>138</v>
      </c>
      <c r="E44" s="33" t="s">
        <v>81</v>
      </c>
      <c r="F44" s="33" t="s">
        <v>33</v>
      </c>
      <c r="G44" s="33">
        <v>94</v>
      </c>
      <c r="H44" s="33">
        <v>0</v>
      </c>
      <c r="I44" s="33">
        <v>5</v>
      </c>
      <c r="J44" s="34">
        <v>46122.458333333336</v>
      </c>
      <c r="K44" s="34">
        <v>46204.375</v>
      </c>
      <c r="L44" s="34">
        <v>46223.75</v>
      </c>
      <c r="M44" s="33"/>
      <c r="N44" s="33"/>
      <c r="O44" s="33">
        <v>190</v>
      </c>
      <c r="P44" s="33"/>
      <c r="Q44" s="33"/>
      <c r="R44" s="28" t="s">
        <v>25</v>
      </c>
      <c r="S44" s="33"/>
      <c r="T44" s="30"/>
    </row>
    <row r="45" spans="1:20" ht="15.75" customHeight="1">
      <c r="A45" s="33" t="s">
        <v>139</v>
      </c>
      <c r="B45" s="33" t="s">
        <v>140</v>
      </c>
      <c r="C45" s="33" t="s">
        <v>141</v>
      </c>
      <c r="D45" s="33" t="s">
        <v>142</v>
      </c>
      <c r="E45" s="33" t="s">
        <v>81</v>
      </c>
      <c r="F45" s="33" t="s">
        <v>33</v>
      </c>
      <c r="G45" s="33">
        <v>86</v>
      </c>
      <c r="H45" s="33">
        <v>0</v>
      </c>
      <c r="I45" s="33">
        <v>9</v>
      </c>
      <c r="J45" s="34">
        <v>46096.375</v>
      </c>
      <c r="K45" s="34">
        <v>46188.375</v>
      </c>
      <c r="L45" s="34">
        <v>46203.75</v>
      </c>
      <c r="M45" s="33"/>
      <c r="N45" s="33"/>
      <c r="O45" s="33">
        <v>120</v>
      </c>
      <c r="P45" s="33"/>
      <c r="Q45" s="33"/>
      <c r="R45" s="28" t="s">
        <v>25</v>
      </c>
      <c r="S45" s="33"/>
      <c r="T45" s="30"/>
    </row>
    <row r="46" spans="1:20" ht="15.75" customHeight="1">
      <c r="A46" s="33" t="s">
        <v>139</v>
      </c>
      <c r="B46" s="33" t="s">
        <v>143</v>
      </c>
      <c r="C46" s="33" t="s">
        <v>141</v>
      </c>
      <c r="D46" s="33" t="s">
        <v>144</v>
      </c>
      <c r="E46" s="33" t="s">
        <v>81</v>
      </c>
      <c r="F46" s="33" t="s">
        <v>33</v>
      </c>
      <c r="G46" s="33">
        <v>86</v>
      </c>
      <c r="H46" s="33">
        <v>0</v>
      </c>
      <c r="I46" s="33">
        <v>9</v>
      </c>
      <c r="J46" s="34">
        <v>46101.416666666664</v>
      </c>
      <c r="K46" s="34">
        <v>46204.375</v>
      </c>
      <c r="L46" s="34">
        <v>46228.75</v>
      </c>
      <c r="M46" s="33"/>
      <c r="N46" s="33"/>
      <c r="O46" s="33">
        <v>240</v>
      </c>
      <c r="P46" s="33"/>
      <c r="Q46" s="33"/>
      <c r="R46" s="28" t="s">
        <v>25</v>
      </c>
      <c r="S46" s="33"/>
      <c r="T46" s="30"/>
    </row>
    <row r="47" spans="1:20" ht="15.75" customHeight="1">
      <c r="A47" s="33" t="s">
        <v>139</v>
      </c>
      <c r="B47" s="33" t="s">
        <v>145</v>
      </c>
      <c r="C47" s="33" t="s">
        <v>141</v>
      </c>
      <c r="D47" s="33" t="s">
        <v>146</v>
      </c>
      <c r="E47" s="33" t="s">
        <v>28</v>
      </c>
      <c r="F47" s="33" t="s">
        <v>33</v>
      </c>
      <c r="G47" s="33">
        <v>80</v>
      </c>
      <c r="H47" s="33">
        <v>0</v>
      </c>
      <c r="I47" s="33">
        <v>5</v>
      </c>
      <c r="J47" s="34">
        <v>46113.479166666664</v>
      </c>
      <c r="K47" s="34">
        <v>46219.375</v>
      </c>
      <c r="L47" s="34">
        <v>46235.75</v>
      </c>
      <c r="M47" s="33"/>
      <c r="N47" s="33"/>
      <c r="O47" s="33">
        <v>160</v>
      </c>
      <c r="P47" s="33"/>
      <c r="Q47" s="33"/>
      <c r="R47" s="28" t="s">
        <v>25</v>
      </c>
      <c r="S47" s="33"/>
      <c r="T47" s="30"/>
    </row>
    <row r="50" spans="1:53" ht="15.75" customHeight="1">
      <c r="A50" s="37" t="s">
        <v>280</v>
      </c>
      <c r="B50" s="10"/>
    </row>
    <row r="51" spans="1:53" s="16" customFormat="1" ht="15.75" customHeight="1">
      <c r="A51" s="15"/>
      <c r="B51" s="20"/>
      <c r="C51" s="17" t="s">
        <v>281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9"/>
    </row>
    <row r="52" spans="1:53" s="16" customFormat="1" ht="15.75" customHeight="1">
      <c r="A52" s="13" t="s">
        <v>2</v>
      </c>
      <c r="B52" s="13" t="s">
        <v>282</v>
      </c>
      <c r="C52" s="13" t="s">
        <v>156</v>
      </c>
      <c r="D52" s="13" t="s">
        <v>157</v>
      </c>
      <c r="E52" s="13" t="s">
        <v>158</v>
      </c>
      <c r="F52" s="13" t="s">
        <v>159</v>
      </c>
      <c r="G52" s="13" t="s">
        <v>160</v>
      </c>
      <c r="H52" s="13" t="s">
        <v>161</v>
      </c>
      <c r="I52" s="13" t="s">
        <v>162</v>
      </c>
      <c r="J52" s="13" t="s">
        <v>163</v>
      </c>
      <c r="K52" s="13" t="s">
        <v>164</v>
      </c>
      <c r="L52" s="13" t="s">
        <v>165</v>
      </c>
      <c r="M52" s="13" t="s">
        <v>166</v>
      </c>
      <c r="N52" s="13" t="s">
        <v>167</v>
      </c>
      <c r="O52" s="13" t="s">
        <v>168</v>
      </c>
      <c r="P52" s="13" t="s">
        <v>169</v>
      </c>
      <c r="Q52" s="13" t="s">
        <v>170</v>
      </c>
      <c r="R52" s="13" t="s">
        <v>171</v>
      </c>
      <c r="S52" s="13" t="s">
        <v>172</v>
      </c>
      <c r="T52" s="13" t="s">
        <v>173</v>
      </c>
      <c r="U52" s="13" t="s">
        <v>174</v>
      </c>
      <c r="V52" s="13" t="s">
        <v>175</v>
      </c>
      <c r="W52" s="13" t="s">
        <v>176</v>
      </c>
      <c r="X52" s="13" t="s">
        <v>177</v>
      </c>
    </row>
    <row r="53" spans="1:53" ht="15.75" customHeight="1">
      <c r="A53" s="26" t="s">
        <v>105</v>
      </c>
      <c r="B53" s="12">
        <f>O33</f>
        <v>220</v>
      </c>
      <c r="C53" s="12">
        <v>80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23</v>
      </c>
      <c r="N53" s="12">
        <v>0</v>
      </c>
      <c r="O53" s="12">
        <v>0</v>
      </c>
      <c r="P53" s="12">
        <v>0</v>
      </c>
      <c r="Q53" s="12">
        <v>0</v>
      </c>
      <c r="R53" s="12">
        <v>4</v>
      </c>
      <c r="S53" s="12">
        <v>1</v>
      </c>
      <c r="T53" s="12">
        <v>0</v>
      </c>
      <c r="U53" s="12">
        <v>0</v>
      </c>
      <c r="V53" s="12">
        <v>0</v>
      </c>
      <c r="W53" s="12">
        <v>11</v>
      </c>
      <c r="X53" s="12">
        <v>0</v>
      </c>
    </row>
    <row r="54" spans="1:53" ht="15.75" customHeight="1">
      <c r="A54" s="12" t="str">
        <f>B24</f>
        <v>SRV-4011</v>
      </c>
      <c r="B54" s="26">
        <f>O24</f>
        <v>160</v>
      </c>
      <c r="C54" s="5">
        <v>11</v>
      </c>
      <c r="D54" s="5">
        <v>0</v>
      </c>
      <c r="E54" s="5">
        <v>0</v>
      </c>
      <c r="F54" s="5">
        <v>0</v>
      </c>
      <c r="G54" s="5">
        <v>2</v>
      </c>
      <c r="H54" s="5">
        <v>2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5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10</v>
      </c>
    </row>
    <row r="55" spans="1:53" ht="15.75" customHeight="1">
      <c r="A55" s="12" t="str">
        <f>B19</f>
        <v>DB-202</v>
      </c>
      <c r="B55" s="12">
        <f>O19</f>
        <v>324</v>
      </c>
      <c r="C55" s="4">
        <v>0</v>
      </c>
      <c r="D55" s="4">
        <v>0</v>
      </c>
      <c r="E55" s="4">
        <v>0</v>
      </c>
      <c r="F55" s="4">
        <v>0</v>
      </c>
      <c r="G55" s="4">
        <v>11</v>
      </c>
      <c r="H55" s="4">
        <v>2</v>
      </c>
      <c r="I55" s="4">
        <v>0</v>
      </c>
      <c r="J55" s="4">
        <v>40</v>
      </c>
      <c r="K55" s="4">
        <v>0</v>
      </c>
      <c r="L55" s="4">
        <v>0</v>
      </c>
      <c r="M55" s="4">
        <v>0</v>
      </c>
      <c r="N55" s="4">
        <v>0</v>
      </c>
      <c r="O55" s="4">
        <v>24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</row>
    <row r="56" spans="1:53" ht="15.75" customHeight="1">
      <c r="A56" s="12" t="str">
        <f>B16</f>
        <v>MP-102</v>
      </c>
      <c r="B56" s="12">
        <f>O16</f>
        <v>186</v>
      </c>
      <c r="C56" s="4">
        <v>18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80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4</v>
      </c>
      <c r="X56" s="4">
        <v>0</v>
      </c>
    </row>
    <row r="57" spans="1:53" ht="15.75" customHeight="1">
      <c r="A57" s="12" t="str">
        <f>B9</f>
        <v>MOB-7011</v>
      </c>
      <c r="B57" s="12">
        <f>O9</f>
        <v>180</v>
      </c>
      <c r="C57" s="4">
        <v>30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35</v>
      </c>
      <c r="J57" s="4">
        <v>0</v>
      </c>
      <c r="K57" s="4">
        <v>0</v>
      </c>
      <c r="L57" s="4">
        <v>30</v>
      </c>
      <c r="M57" s="4">
        <v>0</v>
      </c>
      <c r="N57" s="4">
        <v>30</v>
      </c>
      <c r="O57" s="4">
        <v>0</v>
      </c>
      <c r="P57" s="4">
        <v>40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spans="1:53" ht="15.75" customHeight="1">
      <c r="A58" s="12" t="str">
        <f>B5</f>
        <v>KP-3898</v>
      </c>
      <c r="B58" s="12">
        <f>O5</f>
        <v>194</v>
      </c>
      <c r="C58" s="4">
        <v>30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2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</row>
    <row r="61" spans="1:53" ht="15.75" customHeight="1">
      <c r="A61" s="2" t="s">
        <v>147</v>
      </c>
      <c r="B61" s="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14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</row>
    <row r="62" spans="1:53" s="30" customFormat="1" ht="13">
      <c r="A62" s="33" t="s">
        <v>148</v>
      </c>
      <c r="B62" s="33" t="s">
        <v>20</v>
      </c>
      <c r="C62" s="33" t="s">
        <v>27</v>
      </c>
      <c r="D62" s="33" t="s">
        <v>29</v>
      </c>
      <c r="E62" s="33" t="s">
        <v>32</v>
      </c>
      <c r="F62" s="33" t="s">
        <v>34</v>
      </c>
      <c r="G62" s="33" t="s">
        <v>35</v>
      </c>
      <c r="H62" s="33" t="s">
        <v>37</v>
      </c>
      <c r="I62" s="33" t="s">
        <v>40</v>
      </c>
      <c r="J62" s="33" t="s">
        <v>45</v>
      </c>
      <c r="K62" s="33" t="s">
        <v>49</v>
      </c>
      <c r="L62" s="33" t="s">
        <v>54</v>
      </c>
      <c r="M62" s="33" t="s">
        <v>57</v>
      </c>
      <c r="N62" s="33" t="s">
        <v>59</v>
      </c>
      <c r="O62" s="33" t="s">
        <v>62</v>
      </c>
      <c r="P62" s="33" t="s">
        <v>65</v>
      </c>
      <c r="Q62" s="33" t="s">
        <v>67</v>
      </c>
      <c r="R62" s="40" t="s">
        <v>70</v>
      </c>
      <c r="S62" s="11" t="s">
        <v>73</v>
      </c>
      <c r="T62" s="11" t="s">
        <v>78</v>
      </c>
      <c r="U62" s="11" t="s">
        <v>82</v>
      </c>
      <c r="V62" s="11" t="s">
        <v>149</v>
      </c>
      <c r="W62" s="11" t="s">
        <v>150</v>
      </c>
      <c r="X62" s="11" t="s">
        <v>151</v>
      </c>
      <c r="Y62" s="11" t="s">
        <v>152</v>
      </c>
      <c r="Z62" s="11" t="s">
        <v>153</v>
      </c>
      <c r="AA62" s="11" t="s">
        <v>154</v>
      </c>
      <c r="AB62" s="11" t="s">
        <v>155</v>
      </c>
      <c r="AC62" s="11" t="s">
        <v>105</v>
      </c>
      <c r="AD62" s="33" t="s">
        <v>42</v>
      </c>
      <c r="AE62" s="33" t="s">
        <v>51</v>
      </c>
      <c r="AF62" s="33" t="s">
        <v>75</v>
      </c>
      <c r="AG62" s="33" t="s">
        <v>84</v>
      </c>
      <c r="AH62" s="33" t="s">
        <v>87</v>
      </c>
      <c r="AI62" s="33" t="s">
        <v>92</v>
      </c>
      <c r="AJ62" s="33" t="s">
        <v>94</v>
      </c>
      <c r="AK62" s="33" t="s">
        <v>97</v>
      </c>
      <c r="AL62" s="33" t="s">
        <v>100</v>
      </c>
      <c r="AM62" s="33" t="s">
        <v>102</v>
      </c>
      <c r="AN62" s="33" t="s">
        <v>109</v>
      </c>
      <c r="AO62" s="33" t="s">
        <v>111</v>
      </c>
      <c r="AP62" s="33" t="s">
        <v>114</v>
      </c>
      <c r="AQ62" s="33" t="s">
        <v>117</v>
      </c>
      <c r="AR62" s="33" t="s">
        <v>120</v>
      </c>
      <c r="AS62" s="33" t="s">
        <v>123</v>
      </c>
      <c r="AT62" s="33" t="s">
        <v>125</v>
      </c>
      <c r="AU62" s="33" t="s">
        <v>128</v>
      </c>
      <c r="AV62" s="33" t="s">
        <v>131</v>
      </c>
      <c r="AW62" s="33" t="s">
        <v>134</v>
      </c>
      <c r="AX62" s="33" t="s">
        <v>137</v>
      </c>
      <c r="AY62" s="33" t="s">
        <v>140</v>
      </c>
      <c r="AZ62" s="33" t="s">
        <v>143</v>
      </c>
      <c r="BA62" s="33" t="s">
        <v>145</v>
      </c>
    </row>
    <row r="63" spans="1:53" ht="13">
      <c r="A63" s="4" t="s">
        <v>156</v>
      </c>
      <c r="B63" s="4">
        <v>50</v>
      </c>
      <c r="C63" s="4">
        <v>32</v>
      </c>
      <c r="D63" s="4">
        <v>32</v>
      </c>
      <c r="E63" s="4">
        <v>16</v>
      </c>
      <c r="F63" s="4">
        <v>32</v>
      </c>
      <c r="G63" s="4">
        <v>0</v>
      </c>
      <c r="H63" s="4">
        <v>30</v>
      </c>
      <c r="I63" s="4">
        <v>10</v>
      </c>
      <c r="J63" s="4">
        <v>80</v>
      </c>
      <c r="K63" s="4">
        <v>0</v>
      </c>
      <c r="L63" s="4">
        <v>32</v>
      </c>
      <c r="M63" s="4">
        <v>16</v>
      </c>
      <c r="N63" s="4">
        <v>0</v>
      </c>
      <c r="O63" s="4">
        <v>0</v>
      </c>
      <c r="P63" s="4">
        <v>0</v>
      </c>
      <c r="Q63" s="4">
        <v>0</v>
      </c>
      <c r="R63" s="27">
        <v>0</v>
      </c>
      <c r="S63" s="14">
        <v>0</v>
      </c>
      <c r="T63" s="14">
        <v>40</v>
      </c>
      <c r="U63" s="14">
        <v>40</v>
      </c>
      <c r="V63" s="14">
        <v>30</v>
      </c>
      <c r="W63" s="14">
        <v>60</v>
      </c>
      <c r="X63" s="14">
        <v>40</v>
      </c>
      <c r="Y63" s="14">
        <v>50</v>
      </c>
      <c r="Z63" s="14">
        <v>10</v>
      </c>
      <c r="AA63" s="14">
        <v>20</v>
      </c>
      <c r="AB63" s="14">
        <v>40</v>
      </c>
      <c r="AC63" s="14">
        <v>40</v>
      </c>
      <c r="AD63" s="41">
        <v>30</v>
      </c>
      <c r="AE63" s="41">
        <v>0</v>
      </c>
      <c r="AF63" s="41">
        <v>30</v>
      </c>
      <c r="AG63" s="14">
        <v>10</v>
      </c>
      <c r="AH63" s="14">
        <v>30</v>
      </c>
      <c r="AI63" s="26">
        <v>40</v>
      </c>
      <c r="AJ63" s="14">
        <v>20</v>
      </c>
      <c r="AK63" s="14">
        <v>80</v>
      </c>
      <c r="AL63" s="14">
        <v>20</v>
      </c>
      <c r="AM63" s="14">
        <v>30</v>
      </c>
      <c r="AN63" s="14">
        <v>20</v>
      </c>
      <c r="AO63" s="14">
        <v>10</v>
      </c>
      <c r="AP63" s="26">
        <v>40</v>
      </c>
      <c r="AQ63" s="26">
        <v>20</v>
      </c>
      <c r="AR63" s="14">
        <v>10</v>
      </c>
      <c r="AS63" s="26">
        <v>30</v>
      </c>
      <c r="AT63" s="14">
        <v>20</v>
      </c>
      <c r="AU63" s="14">
        <v>40</v>
      </c>
      <c r="AV63" s="14">
        <v>25</v>
      </c>
      <c r="AW63" s="26">
        <v>40</v>
      </c>
      <c r="AX63" s="26">
        <v>30</v>
      </c>
      <c r="AY63" s="14">
        <v>20</v>
      </c>
      <c r="AZ63" s="14">
        <v>45</v>
      </c>
      <c r="BA63" s="14">
        <v>40</v>
      </c>
    </row>
    <row r="64" spans="1:53" ht="13">
      <c r="A64" s="4" t="s">
        <v>157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27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41">
        <v>0</v>
      </c>
      <c r="AE64" s="41">
        <v>10</v>
      </c>
      <c r="AF64" s="41">
        <v>0</v>
      </c>
      <c r="AG64" s="14">
        <v>0</v>
      </c>
      <c r="AH64" s="14">
        <v>0</v>
      </c>
      <c r="AI64" s="43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43">
        <v>0</v>
      </c>
      <c r="AQ64" s="43">
        <v>0</v>
      </c>
      <c r="AR64" s="14">
        <v>0</v>
      </c>
      <c r="AS64" s="43">
        <v>0</v>
      </c>
      <c r="AT64" s="14">
        <v>0</v>
      </c>
      <c r="AU64" s="14">
        <v>0</v>
      </c>
      <c r="AV64" s="14">
        <v>0</v>
      </c>
      <c r="AW64" s="43">
        <v>0</v>
      </c>
      <c r="AX64" s="43">
        <v>0</v>
      </c>
      <c r="AY64" s="14">
        <v>0</v>
      </c>
      <c r="AZ64" s="14">
        <v>0</v>
      </c>
      <c r="BA64" s="14">
        <v>0</v>
      </c>
    </row>
    <row r="65" spans="1:53" ht="13">
      <c r="A65" s="4" t="s">
        <v>158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27">
        <v>50</v>
      </c>
      <c r="S65" s="14">
        <v>16</v>
      </c>
      <c r="T65" s="14">
        <v>0</v>
      </c>
      <c r="U65" s="14">
        <v>35</v>
      </c>
      <c r="V65" s="14">
        <v>0</v>
      </c>
      <c r="W65" s="14">
        <v>0</v>
      </c>
      <c r="X65" s="14">
        <v>0</v>
      </c>
      <c r="Y65" s="14">
        <v>35</v>
      </c>
      <c r="Z65" s="14">
        <v>0</v>
      </c>
      <c r="AA65" s="14">
        <v>0</v>
      </c>
      <c r="AB65" s="14">
        <v>40</v>
      </c>
      <c r="AC65" s="14">
        <v>8</v>
      </c>
      <c r="AD65" s="41">
        <v>0</v>
      </c>
      <c r="AE65" s="41">
        <v>0</v>
      </c>
      <c r="AF65" s="41">
        <v>0</v>
      </c>
      <c r="AG65" s="14">
        <v>10</v>
      </c>
      <c r="AH65" s="14">
        <v>0</v>
      </c>
      <c r="AI65" s="43">
        <v>0</v>
      </c>
      <c r="AJ65" s="14">
        <v>20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43">
        <v>0</v>
      </c>
      <c r="AQ65" s="43">
        <v>0</v>
      </c>
      <c r="AR65" s="14">
        <v>0</v>
      </c>
      <c r="AS65" s="43">
        <v>0</v>
      </c>
      <c r="AT65" s="14">
        <v>0</v>
      </c>
      <c r="AU65" s="14">
        <v>0</v>
      </c>
      <c r="AV65" s="14">
        <v>0</v>
      </c>
      <c r="AW65" s="43">
        <v>0</v>
      </c>
      <c r="AX65" s="43">
        <v>0</v>
      </c>
      <c r="AY65" s="14">
        <v>0</v>
      </c>
      <c r="AZ65" s="14">
        <v>0</v>
      </c>
      <c r="BA65" s="14">
        <v>0</v>
      </c>
    </row>
    <row r="66" spans="1:53" ht="13">
      <c r="A66" s="4" t="s">
        <v>159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32</v>
      </c>
      <c r="P66" s="4">
        <v>0</v>
      </c>
      <c r="Q66" s="4">
        <v>0</v>
      </c>
      <c r="R66" s="27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42">
        <v>0</v>
      </c>
      <c r="AE66" s="10">
        <v>0</v>
      </c>
      <c r="AF66" s="10">
        <v>0</v>
      </c>
      <c r="AG66" s="14">
        <v>0</v>
      </c>
      <c r="AH66" s="14">
        <v>0</v>
      </c>
      <c r="AI66" s="43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43">
        <v>0</v>
      </c>
      <c r="AQ66" s="43">
        <v>0</v>
      </c>
      <c r="AR66" s="14">
        <v>0</v>
      </c>
      <c r="AS66" s="43">
        <v>0</v>
      </c>
      <c r="AT66" s="14">
        <v>0</v>
      </c>
      <c r="AU66" s="14">
        <v>0</v>
      </c>
      <c r="AV66" s="14">
        <v>0</v>
      </c>
      <c r="AW66" s="43">
        <v>0</v>
      </c>
      <c r="AX66" s="43">
        <v>3</v>
      </c>
      <c r="AY66" s="14">
        <v>0</v>
      </c>
      <c r="AZ66" s="14">
        <v>0</v>
      </c>
      <c r="BA66" s="14">
        <v>0</v>
      </c>
    </row>
    <row r="67" spans="1:53" ht="13">
      <c r="A67" s="4" t="s">
        <v>160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32</v>
      </c>
      <c r="M67" s="4">
        <v>0</v>
      </c>
      <c r="N67" s="4">
        <v>0</v>
      </c>
      <c r="O67" s="4">
        <v>32</v>
      </c>
      <c r="P67" s="4">
        <v>32</v>
      </c>
      <c r="Q67" s="4">
        <v>0</v>
      </c>
      <c r="R67" s="27">
        <v>0</v>
      </c>
      <c r="S67" s="14">
        <v>0</v>
      </c>
      <c r="T67" s="14">
        <v>20</v>
      </c>
      <c r="U67" s="14">
        <v>20</v>
      </c>
      <c r="V67" s="14">
        <v>0</v>
      </c>
      <c r="W67" s="14">
        <v>40</v>
      </c>
      <c r="X67" s="14">
        <v>30</v>
      </c>
      <c r="Y67" s="14">
        <v>0</v>
      </c>
      <c r="Z67" s="14">
        <v>20</v>
      </c>
      <c r="AA67" s="14">
        <v>20</v>
      </c>
      <c r="AB67" s="14">
        <v>0</v>
      </c>
      <c r="AC67" s="14">
        <v>0</v>
      </c>
      <c r="AD67" s="42">
        <v>0</v>
      </c>
      <c r="AE67" s="10">
        <v>0</v>
      </c>
      <c r="AF67" s="10">
        <v>30</v>
      </c>
      <c r="AG67" s="14">
        <v>10</v>
      </c>
      <c r="AH67" s="14">
        <v>0</v>
      </c>
      <c r="AI67" s="43">
        <v>8</v>
      </c>
      <c r="AJ67" s="14">
        <v>0</v>
      </c>
      <c r="AK67" s="14">
        <v>30</v>
      </c>
      <c r="AL67" s="14">
        <v>20</v>
      </c>
      <c r="AM67" s="14">
        <v>10</v>
      </c>
      <c r="AN67" s="14">
        <v>10</v>
      </c>
      <c r="AO67" s="14">
        <v>20</v>
      </c>
      <c r="AP67" s="43">
        <v>8</v>
      </c>
      <c r="AQ67" s="43">
        <v>15</v>
      </c>
      <c r="AR67" s="14">
        <v>20</v>
      </c>
      <c r="AS67" s="43">
        <v>20</v>
      </c>
      <c r="AT67" s="14">
        <v>5</v>
      </c>
      <c r="AU67" s="14">
        <v>20</v>
      </c>
      <c r="AV67" s="14">
        <v>5</v>
      </c>
      <c r="AW67" s="43">
        <v>10</v>
      </c>
      <c r="AX67" s="43">
        <v>10</v>
      </c>
      <c r="AY67" s="14">
        <v>12</v>
      </c>
      <c r="AZ67" s="14">
        <v>5</v>
      </c>
      <c r="BA67" s="14">
        <v>20</v>
      </c>
    </row>
    <row r="68" spans="1:53" ht="13">
      <c r="A68" s="4" t="s">
        <v>161</v>
      </c>
      <c r="B68" s="4">
        <v>0</v>
      </c>
      <c r="C68" s="4">
        <v>0</v>
      </c>
      <c r="D68" s="4">
        <v>3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32</v>
      </c>
      <c r="Q68" s="4">
        <v>40</v>
      </c>
      <c r="R68" s="27">
        <v>0</v>
      </c>
      <c r="S68" s="14">
        <v>0</v>
      </c>
      <c r="T68" s="14">
        <v>20</v>
      </c>
      <c r="U68" s="14">
        <v>20</v>
      </c>
      <c r="V68" s="14">
        <v>0</v>
      </c>
      <c r="W68" s="14">
        <v>20</v>
      </c>
      <c r="X68" s="14">
        <v>30</v>
      </c>
      <c r="Y68" s="14">
        <v>0</v>
      </c>
      <c r="Z68" s="14">
        <v>40</v>
      </c>
      <c r="AA68" s="14">
        <v>20</v>
      </c>
      <c r="AB68" s="14">
        <v>0</v>
      </c>
      <c r="AC68" s="14">
        <v>0</v>
      </c>
      <c r="AD68" s="42">
        <v>0</v>
      </c>
      <c r="AE68" s="10">
        <v>0</v>
      </c>
      <c r="AF68" s="10">
        <v>0</v>
      </c>
      <c r="AG68" s="14">
        <v>2</v>
      </c>
      <c r="AH68" s="14">
        <v>0</v>
      </c>
      <c r="AI68" s="43">
        <v>8</v>
      </c>
      <c r="AJ68" s="14">
        <v>0</v>
      </c>
      <c r="AK68" s="14">
        <v>30</v>
      </c>
      <c r="AL68" s="14">
        <v>20</v>
      </c>
      <c r="AM68" s="14">
        <v>10</v>
      </c>
      <c r="AN68" s="14">
        <v>10</v>
      </c>
      <c r="AO68" s="14">
        <v>40</v>
      </c>
      <c r="AP68" s="43">
        <v>8</v>
      </c>
      <c r="AQ68" s="43">
        <v>15</v>
      </c>
      <c r="AR68" s="14">
        <v>40</v>
      </c>
      <c r="AS68" s="43">
        <v>20</v>
      </c>
      <c r="AT68" s="14">
        <v>5</v>
      </c>
      <c r="AU68" s="14">
        <v>20</v>
      </c>
      <c r="AV68" s="14">
        <v>10</v>
      </c>
      <c r="AW68" s="43">
        <v>10</v>
      </c>
      <c r="AX68" s="43">
        <v>10</v>
      </c>
      <c r="AY68" s="14">
        <v>17</v>
      </c>
      <c r="AZ68" s="14">
        <v>10</v>
      </c>
      <c r="BA68" s="14">
        <v>20</v>
      </c>
    </row>
    <row r="69" spans="1:53" ht="13">
      <c r="A69" s="4" t="s">
        <v>162</v>
      </c>
      <c r="B69" s="4">
        <v>8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35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27">
        <v>0</v>
      </c>
      <c r="S69" s="14">
        <v>0</v>
      </c>
      <c r="T69" s="14">
        <v>0</v>
      </c>
      <c r="U69" s="14">
        <v>35</v>
      </c>
      <c r="V69" s="14">
        <v>0</v>
      </c>
      <c r="W69" s="14">
        <v>40</v>
      </c>
      <c r="X69" s="14">
        <v>0</v>
      </c>
      <c r="Y69" s="14">
        <v>0</v>
      </c>
      <c r="Z69" s="14">
        <v>0</v>
      </c>
      <c r="AA69" s="14">
        <v>0</v>
      </c>
      <c r="AB69" s="14">
        <v>20</v>
      </c>
      <c r="AC69" s="14">
        <v>20</v>
      </c>
      <c r="AD69" s="42">
        <v>0</v>
      </c>
      <c r="AE69" s="10">
        <v>0</v>
      </c>
      <c r="AF69" s="10">
        <v>0</v>
      </c>
      <c r="AG69" s="14">
        <v>15</v>
      </c>
      <c r="AH69" s="14">
        <v>0</v>
      </c>
      <c r="AI69" s="43">
        <v>0</v>
      </c>
      <c r="AJ69" s="14">
        <v>10</v>
      </c>
      <c r="AK69" s="14">
        <v>30</v>
      </c>
      <c r="AL69" s="14">
        <v>0</v>
      </c>
      <c r="AM69" s="14">
        <v>0</v>
      </c>
      <c r="AN69" s="14">
        <v>0</v>
      </c>
      <c r="AO69" s="14">
        <v>0</v>
      </c>
      <c r="AP69" s="43">
        <v>0</v>
      </c>
      <c r="AQ69" s="43">
        <v>0</v>
      </c>
      <c r="AR69" s="14">
        <v>0</v>
      </c>
      <c r="AS69" s="43">
        <v>0</v>
      </c>
      <c r="AT69" s="14">
        <v>0</v>
      </c>
      <c r="AU69" s="14">
        <v>10</v>
      </c>
      <c r="AV69" s="14">
        <v>15</v>
      </c>
      <c r="AW69" s="43">
        <v>0</v>
      </c>
      <c r="AX69" s="43">
        <v>0</v>
      </c>
      <c r="AY69" s="14">
        <v>0</v>
      </c>
      <c r="AZ69" s="14">
        <v>15</v>
      </c>
      <c r="BA69" s="14">
        <v>0</v>
      </c>
    </row>
    <row r="70" spans="1:53" ht="13">
      <c r="A70" s="4" t="s">
        <v>163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130</v>
      </c>
      <c r="Q70" s="4">
        <v>0</v>
      </c>
      <c r="R70" s="27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42">
        <v>0</v>
      </c>
      <c r="AE70" s="10">
        <v>0</v>
      </c>
      <c r="AF70" s="10">
        <v>0</v>
      </c>
      <c r="AG70" s="14">
        <v>0</v>
      </c>
      <c r="AH70" s="14">
        <v>0</v>
      </c>
      <c r="AI70" s="43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43">
        <v>0</v>
      </c>
      <c r="AQ70" s="43">
        <v>0</v>
      </c>
      <c r="AR70" s="14">
        <v>0</v>
      </c>
      <c r="AS70" s="43">
        <v>0</v>
      </c>
      <c r="AT70" s="14">
        <v>0</v>
      </c>
      <c r="AU70" s="14">
        <v>0</v>
      </c>
      <c r="AV70" s="14">
        <v>0</v>
      </c>
      <c r="AW70" s="43">
        <v>0</v>
      </c>
      <c r="AX70" s="43">
        <v>0</v>
      </c>
      <c r="AY70" s="14">
        <v>0</v>
      </c>
      <c r="AZ70" s="14">
        <v>0</v>
      </c>
      <c r="BA70" s="14">
        <v>0</v>
      </c>
    </row>
    <row r="71" spans="1:53" ht="13">
      <c r="A71" s="4" t="s">
        <v>164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27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42">
        <v>0</v>
      </c>
      <c r="AE71" s="42">
        <v>50</v>
      </c>
      <c r="AF71" s="10">
        <v>0</v>
      </c>
      <c r="AG71" s="14">
        <v>0</v>
      </c>
      <c r="AH71" s="14">
        <v>0</v>
      </c>
      <c r="AI71" s="43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43">
        <v>0</v>
      </c>
      <c r="AQ71" s="43">
        <v>0</v>
      </c>
      <c r="AR71" s="14">
        <v>0</v>
      </c>
      <c r="AS71" s="43">
        <v>0</v>
      </c>
      <c r="AT71" s="14">
        <v>0</v>
      </c>
      <c r="AU71" s="14">
        <v>0</v>
      </c>
      <c r="AV71" s="14">
        <v>0</v>
      </c>
      <c r="AW71" s="43">
        <v>0</v>
      </c>
      <c r="AX71" s="43">
        <v>57</v>
      </c>
      <c r="AY71" s="14">
        <v>0</v>
      </c>
      <c r="AZ71" s="14">
        <v>0</v>
      </c>
      <c r="BA71" s="14">
        <v>0</v>
      </c>
    </row>
    <row r="72" spans="1:53" ht="13">
      <c r="A72" s="4" t="s">
        <v>165</v>
      </c>
      <c r="B72" s="4">
        <v>0</v>
      </c>
      <c r="C72" s="4">
        <v>0</v>
      </c>
      <c r="D72" s="4">
        <v>30</v>
      </c>
      <c r="E72" s="4">
        <v>0</v>
      </c>
      <c r="F72" s="4">
        <v>0</v>
      </c>
      <c r="G72" s="4">
        <v>0</v>
      </c>
      <c r="H72" s="4">
        <v>30</v>
      </c>
      <c r="I72" s="4">
        <v>100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27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42">
        <v>30</v>
      </c>
      <c r="AE72" s="10">
        <v>0</v>
      </c>
      <c r="AF72" s="10">
        <v>0</v>
      </c>
      <c r="AG72" s="14">
        <v>0</v>
      </c>
      <c r="AH72" s="14">
        <v>0</v>
      </c>
      <c r="AI72" s="43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43">
        <v>0</v>
      </c>
      <c r="AQ72" s="43">
        <v>0</v>
      </c>
      <c r="AR72" s="14">
        <v>0</v>
      </c>
      <c r="AS72" s="43">
        <v>0</v>
      </c>
      <c r="AT72" s="14">
        <v>0</v>
      </c>
      <c r="AU72" s="14">
        <v>0</v>
      </c>
      <c r="AV72" s="14">
        <v>0</v>
      </c>
      <c r="AW72" s="43">
        <v>0</v>
      </c>
      <c r="AX72" s="43">
        <v>0</v>
      </c>
      <c r="AY72" s="14">
        <v>0</v>
      </c>
      <c r="AZ72" s="14">
        <v>0</v>
      </c>
      <c r="BA72" s="14">
        <v>0</v>
      </c>
    </row>
    <row r="73" spans="1:53" ht="13">
      <c r="A73" s="4" t="s">
        <v>166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27">
        <v>50</v>
      </c>
      <c r="S73" s="14">
        <v>20</v>
      </c>
      <c r="T73" s="14">
        <v>0</v>
      </c>
      <c r="U73" s="14">
        <v>40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20</v>
      </c>
      <c r="AC73" s="14">
        <v>100</v>
      </c>
      <c r="AD73" s="42">
        <v>0</v>
      </c>
      <c r="AE73" s="10">
        <v>0</v>
      </c>
      <c r="AF73" s="10">
        <v>0</v>
      </c>
      <c r="AG73" s="14">
        <v>20</v>
      </c>
      <c r="AH73" s="14">
        <v>0</v>
      </c>
      <c r="AI73" s="43">
        <v>0</v>
      </c>
      <c r="AJ73" s="14">
        <v>10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43">
        <v>0</v>
      </c>
      <c r="AQ73" s="43">
        <v>0</v>
      </c>
      <c r="AR73" s="14">
        <v>0</v>
      </c>
      <c r="AS73" s="43">
        <v>0</v>
      </c>
      <c r="AT73" s="14">
        <v>0</v>
      </c>
      <c r="AU73" s="14">
        <v>0</v>
      </c>
      <c r="AV73" s="14">
        <v>0</v>
      </c>
      <c r="AW73" s="43">
        <v>0</v>
      </c>
      <c r="AX73" s="43">
        <v>0</v>
      </c>
      <c r="AY73" s="14">
        <v>0</v>
      </c>
      <c r="AZ73" s="14">
        <v>0</v>
      </c>
      <c r="BA73" s="14">
        <v>0</v>
      </c>
    </row>
    <row r="74" spans="1:53" ht="13">
      <c r="A74" s="4" t="s">
        <v>167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30</v>
      </c>
      <c r="I74" s="4">
        <v>100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27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41">
        <v>40</v>
      </c>
      <c r="AE74" s="10">
        <v>0</v>
      </c>
      <c r="AF74" s="10">
        <v>0</v>
      </c>
      <c r="AG74" s="14">
        <v>0</v>
      </c>
      <c r="AH74" s="14">
        <v>0</v>
      </c>
      <c r="AI74" s="43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43">
        <v>0</v>
      </c>
      <c r="AQ74" s="43">
        <v>0</v>
      </c>
      <c r="AR74" s="14">
        <v>0</v>
      </c>
      <c r="AS74" s="43">
        <v>0</v>
      </c>
      <c r="AT74" s="14">
        <v>0</v>
      </c>
      <c r="AU74" s="14">
        <v>0</v>
      </c>
      <c r="AV74" s="14">
        <v>0</v>
      </c>
      <c r="AW74" s="43">
        <v>0</v>
      </c>
      <c r="AX74" s="43">
        <v>0</v>
      </c>
      <c r="AY74" s="14">
        <v>0</v>
      </c>
      <c r="AZ74" s="14">
        <v>0</v>
      </c>
      <c r="BA74" s="14">
        <v>0</v>
      </c>
    </row>
    <row r="75" spans="1:53" ht="13">
      <c r="A75" s="4" t="s">
        <v>168</v>
      </c>
      <c r="B75" s="4">
        <v>50</v>
      </c>
      <c r="C75" s="4">
        <v>54</v>
      </c>
      <c r="D75" s="4">
        <v>30</v>
      </c>
      <c r="E75" s="4">
        <v>120</v>
      </c>
      <c r="F75" s="4">
        <v>54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120</v>
      </c>
      <c r="N75" s="4">
        <v>0</v>
      </c>
      <c r="O75" s="4">
        <v>32</v>
      </c>
      <c r="P75" s="4">
        <v>130</v>
      </c>
      <c r="Q75" s="4">
        <v>32</v>
      </c>
      <c r="R75" s="27">
        <v>0</v>
      </c>
      <c r="S75" s="14">
        <v>0</v>
      </c>
      <c r="T75" s="14">
        <v>40</v>
      </c>
      <c r="U75" s="14">
        <v>40</v>
      </c>
      <c r="V75" s="14">
        <v>40</v>
      </c>
      <c r="W75" s="14">
        <v>100</v>
      </c>
      <c r="X75" s="14">
        <v>80</v>
      </c>
      <c r="Y75" s="14">
        <v>40</v>
      </c>
      <c r="Z75" s="14">
        <v>0</v>
      </c>
      <c r="AA75" s="14">
        <v>80</v>
      </c>
      <c r="AB75" s="14">
        <v>0</v>
      </c>
      <c r="AC75" s="14">
        <v>0</v>
      </c>
      <c r="AD75" s="41">
        <v>10</v>
      </c>
      <c r="AE75" s="10">
        <v>0</v>
      </c>
      <c r="AF75" s="10">
        <v>15</v>
      </c>
      <c r="AG75" s="14">
        <v>20</v>
      </c>
      <c r="AH75" s="14">
        <v>40</v>
      </c>
      <c r="AI75" s="43">
        <v>48</v>
      </c>
      <c r="AJ75" s="14">
        <v>0</v>
      </c>
      <c r="AK75" s="14">
        <v>80</v>
      </c>
      <c r="AL75" s="14">
        <v>80</v>
      </c>
      <c r="AM75" s="14">
        <v>40</v>
      </c>
      <c r="AN75" s="14">
        <v>70</v>
      </c>
      <c r="AO75" s="14">
        <v>0</v>
      </c>
      <c r="AP75" s="43">
        <v>48</v>
      </c>
      <c r="AQ75" s="43">
        <v>75</v>
      </c>
      <c r="AR75" s="14">
        <v>0</v>
      </c>
      <c r="AS75" s="43">
        <v>40</v>
      </c>
      <c r="AT75" s="14">
        <v>40</v>
      </c>
      <c r="AU75" s="14">
        <v>40</v>
      </c>
      <c r="AV75" s="14">
        <v>70</v>
      </c>
      <c r="AW75" s="43">
        <v>50</v>
      </c>
      <c r="AX75" s="43">
        <v>40</v>
      </c>
      <c r="AY75" s="14">
        <v>55</v>
      </c>
      <c r="AZ75" s="14">
        <v>80</v>
      </c>
      <c r="BA75" s="14">
        <v>40</v>
      </c>
    </row>
    <row r="76" spans="1:53" ht="13">
      <c r="A76" s="4" t="s">
        <v>169</v>
      </c>
      <c r="B76" s="4">
        <v>40</v>
      </c>
      <c r="C76" s="4">
        <v>0</v>
      </c>
      <c r="D76" s="4">
        <v>0</v>
      </c>
      <c r="E76" s="4">
        <v>20</v>
      </c>
      <c r="F76" s="4">
        <v>0</v>
      </c>
      <c r="G76" s="4">
        <v>0</v>
      </c>
      <c r="H76" s="4">
        <v>40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27">
        <v>0</v>
      </c>
      <c r="S76" s="14">
        <v>100</v>
      </c>
      <c r="T76" s="14">
        <v>0</v>
      </c>
      <c r="U76" s="14">
        <v>0</v>
      </c>
      <c r="V76" s="14">
        <v>0</v>
      </c>
      <c r="W76" s="14">
        <v>40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42">
        <v>0</v>
      </c>
      <c r="AE76" s="10">
        <v>0</v>
      </c>
      <c r="AF76" s="10">
        <v>0</v>
      </c>
      <c r="AG76" s="14">
        <v>0</v>
      </c>
      <c r="AH76" s="14">
        <v>0</v>
      </c>
      <c r="AI76" s="43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43">
        <v>0</v>
      </c>
      <c r="AQ76" s="43">
        <v>0</v>
      </c>
      <c r="AR76" s="14">
        <v>0</v>
      </c>
      <c r="AS76" s="43">
        <v>0</v>
      </c>
      <c r="AT76" s="14">
        <v>0</v>
      </c>
      <c r="AU76" s="14">
        <v>10</v>
      </c>
      <c r="AV76" s="14">
        <v>20</v>
      </c>
      <c r="AW76" s="43">
        <v>0</v>
      </c>
      <c r="AX76" s="43">
        <v>0</v>
      </c>
      <c r="AY76" s="14">
        <v>0</v>
      </c>
      <c r="AZ76" s="14">
        <v>20</v>
      </c>
      <c r="BA76" s="14">
        <v>0</v>
      </c>
    </row>
    <row r="77" spans="1:53" ht="13">
      <c r="A77" s="4" t="s">
        <v>170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27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42">
        <v>0</v>
      </c>
      <c r="AE77" s="42">
        <v>10</v>
      </c>
      <c r="AF77" s="10">
        <v>0</v>
      </c>
      <c r="AG77" s="14">
        <v>0</v>
      </c>
      <c r="AH77" s="14">
        <v>0</v>
      </c>
      <c r="AI77" s="43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43">
        <v>0</v>
      </c>
      <c r="AQ77" s="43">
        <v>0</v>
      </c>
      <c r="AR77" s="14">
        <v>0</v>
      </c>
      <c r="AS77" s="43">
        <v>0</v>
      </c>
      <c r="AT77" s="14">
        <v>0</v>
      </c>
      <c r="AU77" s="14">
        <v>0</v>
      </c>
      <c r="AV77" s="14">
        <v>0</v>
      </c>
      <c r="AW77" s="43">
        <v>0</v>
      </c>
      <c r="AX77" s="43">
        <v>0</v>
      </c>
      <c r="AY77" s="14">
        <v>0</v>
      </c>
      <c r="AZ77" s="14">
        <v>0</v>
      </c>
      <c r="BA77" s="14">
        <v>0</v>
      </c>
    </row>
    <row r="78" spans="1:53" ht="13">
      <c r="A78" s="4" t="s">
        <v>171</v>
      </c>
      <c r="B78" s="4">
        <v>46</v>
      </c>
      <c r="C78" s="4">
        <v>9</v>
      </c>
      <c r="D78" s="4">
        <v>9</v>
      </c>
      <c r="E78" s="4">
        <v>40</v>
      </c>
      <c r="F78" s="4">
        <v>9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27">
        <v>0</v>
      </c>
      <c r="S78" s="14">
        <v>0</v>
      </c>
      <c r="T78" s="14">
        <v>20</v>
      </c>
      <c r="U78" s="14">
        <v>20</v>
      </c>
      <c r="V78" s="14">
        <v>20</v>
      </c>
      <c r="W78" s="14">
        <v>40</v>
      </c>
      <c r="X78" s="14">
        <v>20</v>
      </c>
      <c r="Y78" s="14">
        <v>20</v>
      </c>
      <c r="Z78" s="14">
        <v>10</v>
      </c>
      <c r="AA78" s="14">
        <v>20</v>
      </c>
      <c r="AB78" s="14">
        <v>10</v>
      </c>
      <c r="AC78" s="14">
        <v>7</v>
      </c>
      <c r="AD78" s="42">
        <v>0</v>
      </c>
      <c r="AE78" s="10">
        <v>0</v>
      </c>
      <c r="AF78" s="10">
        <v>0</v>
      </c>
      <c r="AG78" s="14">
        <v>10</v>
      </c>
      <c r="AH78" s="14">
        <v>20</v>
      </c>
      <c r="AI78" s="43">
        <v>20</v>
      </c>
      <c r="AJ78" s="14">
        <v>5</v>
      </c>
      <c r="AK78" s="14">
        <v>20</v>
      </c>
      <c r="AL78" s="14">
        <v>20</v>
      </c>
      <c r="AM78" s="14">
        <v>15</v>
      </c>
      <c r="AN78" s="14">
        <v>20</v>
      </c>
      <c r="AO78" s="14">
        <v>10</v>
      </c>
      <c r="AP78" s="43">
        <v>20</v>
      </c>
      <c r="AQ78" s="43">
        <v>15</v>
      </c>
      <c r="AR78" s="14">
        <v>10</v>
      </c>
      <c r="AS78" s="43">
        <v>20</v>
      </c>
      <c r="AT78" s="14">
        <v>15</v>
      </c>
      <c r="AU78" s="14">
        <v>20</v>
      </c>
      <c r="AV78" s="14">
        <v>40</v>
      </c>
      <c r="AW78" s="43">
        <v>15</v>
      </c>
      <c r="AX78" s="43">
        <v>15</v>
      </c>
      <c r="AY78" s="14">
        <v>10</v>
      </c>
      <c r="AZ78" s="14">
        <v>40</v>
      </c>
      <c r="BA78" s="14">
        <v>20</v>
      </c>
    </row>
    <row r="79" spans="1:53" ht="13">
      <c r="A79" s="4" t="s">
        <v>172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27">
        <v>50</v>
      </c>
      <c r="S79" s="14">
        <v>40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3</v>
      </c>
      <c r="AD79" s="42">
        <v>0</v>
      </c>
      <c r="AE79" s="10">
        <v>0</v>
      </c>
      <c r="AF79" s="10">
        <v>0</v>
      </c>
      <c r="AG79" s="14">
        <v>0</v>
      </c>
      <c r="AH79" s="14">
        <v>0</v>
      </c>
      <c r="AI79" s="43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43">
        <v>0</v>
      </c>
      <c r="AQ79" s="43">
        <v>0</v>
      </c>
      <c r="AR79" s="14">
        <v>0</v>
      </c>
      <c r="AS79" s="43">
        <v>0</v>
      </c>
      <c r="AT79" s="14">
        <v>0</v>
      </c>
      <c r="AU79" s="14">
        <v>0</v>
      </c>
      <c r="AV79" s="14">
        <v>0</v>
      </c>
      <c r="AW79" s="43">
        <v>0</v>
      </c>
      <c r="AX79" s="43">
        <v>0</v>
      </c>
      <c r="AY79" s="14">
        <v>0</v>
      </c>
      <c r="AZ79" s="14">
        <v>0</v>
      </c>
      <c r="BA79" s="14">
        <v>0</v>
      </c>
    </row>
    <row r="80" spans="1:53" ht="13">
      <c r="A80" s="4" t="s">
        <v>173</v>
      </c>
      <c r="B80" s="4">
        <v>0</v>
      </c>
      <c r="C80" s="4">
        <v>3</v>
      </c>
      <c r="D80" s="4">
        <v>0</v>
      </c>
      <c r="E80" s="4">
        <v>0</v>
      </c>
      <c r="F80" s="4">
        <v>3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27">
        <v>0</v>
      </c>
      <c r="S80" s="14">
        <v>0</v>
      </c>
      <c r="T80" s="14">
        <v>0</v>
      </c>
      <c r="U80" s="14">
        <v>0</v>
      </c>
      <c r="V80" s="14">
        <v>10</v>
      </c>
      <c r="W80" s="14">
        <v>10</v>
      </c>
      <c r="X80" s="14">
        <v>10</v>
      </c>
      <c r="Y80" s="14">
        <v>10</v>
      </c>
      <c r="Z80" s="14">
        <v>0</v>
      </c>
      <c r="AA80" s="14">
        <v>10</v>
      </c>
      <c r="AB80" s="14">
        <v>0</v>
      </c>
      <c r="AC80" s="14">
        <v>0</v>
      </c>
      <c r="AD80" s="42">
        <v>0</v>
      </c>
      <c r="AE80" s="10">
        <v>0</v>
      </c>
      <c r="AF80" s="10">
        <v>0</v>
      </c>
      <c r="AG80" s="14">
        <v>0</v>
      </c>
      <c r="AH80" s="14">
        <v>10</v>
      </c>
      <c r="AI80" s="43">
        <v>0</v>
      </c>
      <c r="AJ80" s="14">
        <v>0</v>
      </c>
      <c r="AK80" s="14">
        <v>10</v>
      </c>
      <c r="AL80" s="14">
        <v>10</v>
      </c>
      <c r="AM80" s="14">
        <v>0</v>
      </c>
      <c r="AN80" s="14">
        <v>10</v>
      </c>
      <c r="AO80" s="14">
        <v>0</v>
      </c>
      <c r="AP80" s="43">
        <v>0</v>
      </c>
      <c r="AQ80" s="43">
        <v>10</v>
      </c>
      <c r="AR80" s="14">
        <v>0</v>
      </c>
      <c r="AS80" s="43">
        <v>0</v>
      </c>
      <c r="AT80" s="14">
        <v>0</v>
      </c>
      <c r="AU80" s="14">
        <v>0</v>
      </c>
      <c r="AV80" s="14">
        <v>10</v>
      </c>
      <c r="AW80" s="43">
        <v>0</v>
      </c>
      <c r="AX80" s="43">
        <v>0</v>
      </c>
      <c r="AY80" s="14">
        <v>1</v>
      </c>
      <c r="AZ80" s="14">
        <v>10</v>
      </c>
      <c r="BA80" s="14">
        <v>0</v>
      </c>
    </row>
    <row r="81" spans="1:53" ht="13">
      <c r="A81" s="4" t="s">
        <v>174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27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42">
        <v>0</v>
      </c>
      <c r="AE81" s="42">
        <v>2</v>
      </c>
      <c r="AF81" s="10">
        <v>0</v>
      </c>
      <c r="AG81" s="14">
        <v>0</v>
      </c>
      <c r="AH81" s="14">
        <v>0</v>
      </c>
      <c r="AI81" s="43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43">
        <v>0</v>
      </c>
      <c r="AQ81" s="43">
        <v>0</v>
      </c>
      <c r="AR81" s="14">
        <v>0</v>
      </c>
      <c r="AS81" s="43">
        <v>0</v>
      </c>
      <c r="AT81" s="14">
        <v>0</v>
      </c>
      <c r="AU81" s="14">
        <v>0</v>
      </c>
      <c r="AV81" s="14">
        <v>0</v>
      </c>
      <c r="AW81" s="43">
        <v>0</v>
      </c>
      <c r="AX81" s="43">
        <v>10</v>
      </c>
      <c r="AY81" s="14">
        <v>0</v>
      </c>
      <c r="AZ81" s="14">
        <v>0</v>
      </c>
      <c r="BA81" s="14">
        <v>0</v>
      </c>
    </row>
    <row r="82" spans="1:53" ht="13">
      <c r="A82" s="44" t="s">
        <v>175</v>
      </c>
      <c r="B82" s="44">
        <v>0</v>
      </c>
      <c r="C82" s="44">
        <v>0</v>
      </c>
      <c r="D82" s="44">
        <v>0</v>
      </c>
      <c r="E82" s="44">
        <v>0</v>
      </c>
      <c r="F82" s="44">
        <v>0</v>
      </c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5">
        <v>0</v>
      </c>
      <c r="S82" s="46">
        <v>0</v>
      </c>
      <c r="T82" s="46">
        <v>0</v>
      </c>
      <c r="U82" s="46">
        <v>0</v>
      </c>
      <c r="V82" s="46">
        <v>0</v>
      </c>
      <c r="W82" s="46">
        <v>0</v>
      </c>
      <c r="X82" s="46">
        <v>0</v>
      </c>
      <c r="Y82" s="46">
        <v>0</v>
      </c>
      <c r="Z82" s="46">
        <v>0</v>
      </c>
      <c r="AA82" s="46">
        <v>0</v>
      </c>
      <c r="AB82" s="46">
        <v>0</v>
      </c>
      <c r="AC82" s="46">
        <v>0</v>
      </c>
      <c r="AD82" s="42">
        <v>0</v>
      </c>
      <c r="AE82" s="10">
        <v>0</v>
      </c>
      <c r="AF82" s="10">
        <v>0</v>
      </c>
      <c r="AG82" s="46">
        <v>0</v>
      </c>
      <c r="AH82" s="46">
        <v>0</v>
      </c>
      <c r="AI82" s="47">
        <v>0</v>
      </c>
      <c r="AJ82" s="46">
        <v>0</v>
      </c>
      <c r="AK82" s="46">
        <v>0</v>
      </c>
      <c r="AL82" s="46">
        <v>0</v>
      </c>
      <c r="AM82" s="46">
        <v>0</v>
      </c>
      <c r="AN82" s="46">
        <v>0</v>
      </c>
      <c r="AO82" s="46">
        <v>0</v>
      </c>
      <c r="AP82" s="47">
        <v>0</v>
      </c>
      <c r="AQ82" s="47">
        <v>0</v>
      </c>
      <c r="AR82" s="46">
        <v>0</v>
      </c>
      <c r="AS82" s="47">
        <v>0</v>
      </c>
      <c r="AT82" s="46">
        <v>0</v>
      </c>
      <c r="AU82" s="46">
        <v>0</v>
      </c>
      <c r="AV82" s="46">
        <v>0</v>
      </c>
      <c r="AW82" s="47">
        <v>0</v>
      </c>
      <c r="AX82" s="47">
        <v>0</v>
      </c>
      <c r="AY82" s="46">
        <v>0</v>
      </c>
      <c r="AZ82" s="46">
        <v>0</v>
      </c>
      <c r="BA82" s="46">
        <v>0</v>
      </c>
    </row>
    <row r="83" spans="1:53" ht="13">
      <c r="A83" s="14" t="s">
        <v>176</v>
      </c>
      <c r="B83" s="14">
        <v>50</v>
      </c>
      <c r="C83" s="14">
        <v>74</v>
      </c>
      <c r="D83" s="14">
        <v>8</v>
      </c>
      <c r="E83" s="14">
        <v>24</v>
      </c>
      <c r="F83" s="14">
        <v>74</v>
      </c>
      <c r="G83" s="14">
        <v>0</v>
      </c>
      <c r="H83" s="14">
        <v>0</v>
      </c>
      <c r="I83" s="14">
        <v>0</v>
      </c>
      <c r="J83" s="14">
        <v>0</v>
      </c>
      <c r="K83" s="14">
        <v>40</v>
      </c>
      <c r="L83" s="14">
        <v>0</v>
      </c>
      <c r="M83" s="14">
        <v>30</v>
      </c>
      <c r="N83" s="14">
        <v>54</v>
      </c>
      <c r="O83" s="14">
        <v>0</v>
      </c>
      <c r="P83" s="14">
        <v>0</v>
      </c>
      <c r="Q83" s="14">
        <v>0</v>
      </c>
      <c r="R83" s="14">
        <v>0</v>
      </c>
      <c r="S83" s="14">
        <v>40</v>
      </c>
      <c r="T83" s="14">
        <v>10</v>
      </c>
      <c r="U83" s="14">
        <v>10</v>
      </c>
      <c r="V83" s="14">
        <v>10</v>
      </c>
      <c r="W83" s="14">
        <v>30</v>
      </c>
      <c r="X83" s="14">
        <v>10</v>
      </c>
      <c r="Y83" s="14">
        <v>10</v>
      </c>
      <c r="Z83" s="14">
        <v>10</v>
      </c>
      <c r="AA83" s="14">
        <v>10</v>
      </c>
      <c r="AB83" s="14">
        <v>10</v>
      </c>
      <c r="AC83" s="14">
        <v>42</v>
      </c>
      <c r="AD83" s="11">
        <v>10</v>
      </c>
      <c r="AE83" s="11">
        <v>18</v>
      </c>
      <c r="AF83" s="11">
        <v>10</v>
      </c>
      <c r="AG83" s="14">
        <v>3</v>
      </c>
      <c r="AH83" s="14">
        <v>10</v>
      </c>
      <c r="AI83" s="26">
        <v>6</v>
      </c>
      <c r="AJ83" s="14">
        <v>5</v>
      </c>
      <c r="AK83" s="14">
        <v>30</v>
      </c>
      <c r="AL83" s="14">
        <v>10</v>
      </c>
      <c r="AM83" s="14">
        <v>10</v>
      </c>
      <c r="AN83" s="14">
        <v>10</v>
      </c>
      <c r="AO83" s="14">
        <v>10</v>
      </c>
      <c r="AP83" s="26">
        <v>6</v>
      </c>
      <c r="AQ83" s="26">
        <v>10</v>
      </c>
      <c r="AR83" s="14">
        <v>10</v>
      </c>
      <c r="AS83" s="26">
        <v>5</v>
      </c>
      <c r="AT83" s="14">
        <v>10</v>
      </c>
      <c r="AU83" s="14">
        <v>10</v>
      </c>
      <c r="AV83" s="14">
        <v>10</v>
      </c>
      <c r="AW83" s="26">
        <v>10</v>
      </c>
      <c r="AX83" s="26">
        <v>10</v>
      </c>
      <c r="AY83" s="14">
        <v>5</v>
      </c>
      <c r="AZ83" s="14">
        <v>10</v>
      </c>
      <c r="BA83" s="14">
        <v>10</v>
      </c>
    </row>
    <row r="84" spans="1:53" ht="13">
      <c r="A84" s="14" t="s">
        <v>177</v>
      </c>
      <c r="B84" s="14">
        <v>12</v>
      </c>
      <c r="C84" s="14">
        <v>20</v>
      </c>
      <c r="D84" s="14">
        <v>82</v>
      </c>
      <c r="E84" s="14">
        <v>20</v>
      </c>
      <c r="F84" s="14">
        <v>20</v>
      </c>
      <c r="G84" s="14">
        <v>30</v>
      </c>
      <c r="H84" s="14">
        <v>0</v>
      </c>
      <c r="I84" s="14">
        <v>0</v>
      </c>
      <c r="J84" s="14">
        <v>0</v>
      </c>
      <c r="K84" s="14">
        <v>80</v>
      </c>
      <c r="L84" s="14">
        <v>0</v>
      </c>
      <c r="M84" s="14">
        <v>20</v>
      </c>
      <c r="N84" s="14">
        <v>60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10</v>
      </c>
      <c r="U84" s="14">
        <v>10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1">
        <v>0</v>
      </c>
      <c r="AE84" s="11">
        <v>0</v>
      </c>
      <c r="AF84" s="11">
        <v>15</v>
      </c>
      <c r="AG84" s="14">
        <v>10</v>
      </c>
      <c r="AH84" s="14">
        <v>0</v>
      </c>
      <c r="AI84" s="26">
        <v>0</v>
      </c>
      <c r="AJ84" s="14">
        <v>0</v>
      </c>
      <c r="AK84" s="14">
        <v>30</v>
      </c>
      <c r="AL84" s="14">
        <v>0</v>
      </c>
      <c r="AM84" s="14">
        <v>5</v>
      </c>
      <c r="AN84" s="14">
        <v>0</v>
      </c>
      <c r="AO84" s="14">
        <v>0</v>
      </c>
      <c r="AP84" s="26">
        <v>0</v>
      </c>
      <c r="AQ84" s="26">
        <v>0</v>
      </c>
      <c r="AR84" s="14">
        <v>0</v>
      </c>
      <c r="AS84" s="26">
        <v>5</v>
      </c>
      <c r="AT84" s="14">
        <v>5</v>
      </c>
      <c r="AU84" s="14">
        <v>10</v>
      </c>
      <c r="AV84" s="14">
        <v>5</v>
      </c>
      <c r="AW84" s="26">
        <v>5</v>
      </c>
      <c r="AX84" s="26">
        <v>5</v>
      </c>
      <c r="AY84" s="14">
        <v>0</v>
      </c>
      <c r="AZ84" s="14">
        <v>5</v>
      </c>
      <c r="BA84" s="14">
        <v>10</v>
      </c>
    </row>
    <row r="85" spans="1:53" ht="13">
      <c r="A85" s="14" t="s">
        <v>178</v>
      </c>
      <c r="B85" s="14">
        <v>256</v>
      </c>
      <c r="C85" s="14">
        <v>192</v>
      </c>
      <c r="D85" s="14">
        <v>197</v>
      </c>
      <c r="E85" s="14">
        <v>240</v>
      </c>
      <c r="F85" s="14">
        <v>192</v>
      </c>
      <c r="G85" s="14">
        <v>30</v>
      </c>
      <c r="H85" s="14">
        <v>165</v>
      </c>
      <c r="I85" s="14">
        <v>210</v>
      </c>
      <c r="J85" s="14">
        <v>80</v>
      </c>
      <c r="K85" s="14">
        <v>120</v>
      </c>
      <c r="L85" s="14">
        <v>64</v>
      </c>
      <c r="M85" s="14">
        <v>186</v>
      </c>
      <c r="N85" s="14">
        <v>114</v>
      </c>
      <c r="O85" s="14">
        <v>96</v>
      </c>
      <c r="P85" s="14">
        <v>324</v>
      </c>
      <c r="Q85" s="14">
        <v>72</v>
      </c>
      <c r="R85" s="14">
        <v>150</v>
      </c>
      <c r="S85" s="14">
        <v>216</v>
      </c>
      <c r="T85" s="14">
        <v>160</v>
      </c>
      <c r="U85" s="14">
        <v>230</v>
      </c>
      <c r="V85" s="14">
        <v>110</v>
      </c>
      <c r="W85" s="14">
        <v>340</v>
      </c>
      <c r="X85" s="14">
        <v>220</v>
      </c>
      <c r="Y85" s="14">
        <v>115</v>
      </c>
      <c r="Z85" s="14">
        <v>90</v>
      </c>
      <c r="AA85" s="14">
        <v>180</v>
      </c>
      <c r="AB85" s="14">
        <v>140</v>
      </c>
      <c r="AC85" s="14">
        <v>220</v>
      </c>
      <c r="AD85" s="11">
        <v>120</v>
      </c>
      <c r="AE85" s="11">
        <v>90</v>
      </c>
      <c r="AF85" s="11">
        <v>100</v>
      </c>
      <c r="AG85" s="11">
        <v>110</v>
      </c>
      <c r="AH85" s="11">
        <v>110</v>
      </c>
      <c r="AI85" s="11">
        <v>130</v>
      </c>
      <c r="AJ85" s="11">
        <v>70</v>
      </c>
      <c r="AK85" s="11">
        <v>340</v>
      </c>
      <c r="AL85" s="11">
        <v>180</v>
      </c>
      <c r="AM85" s="11">
        <v>120</v>
      </c>
      <c r="AN85" s="11">
        <v>150</v>
      </c>
      <c r="AO85" s="11">
        <v>90</v>
      </c>
      <c r="AP85" s="11">
        <v>130</v>
      </c>
      <c r="AQ85" s="11">
        <v>160</v>
      </c>
      <c r="AR85" s="11">
        <v>90</v>
      </c>
      <c r="AS85" s="11">
        <v>140</v>
      </c>
      <c r="AT85" s="11">
        <v>100</v>
      </c>
      <c r="AU85" s="11">
        <v>180</v>
      </c>
      <c r="AV85" s="11">
        <v>210</v>
      </c>
      <c r="AW85" s="11">
        <v>140</v>
      </c>
      <c r="AX85" s="11">
        <v>190</v>
      </c>
      <c r="AY85" s="11">
        <v>120</v>
      </c>
      <c r="AZ85" s="11">
        <v>240</v>
      </c>
      <c r="BA85" s="11">
        <v>160</v>
      </c>
    </row>
    <row r="87" spans="1:53" ht="13">
      <c r="A87" s="3" t="s">
        <v>179</v>
      </c>
      <c r="B87" s="3"/>
    </row>
    <row r="88" spans="1:53" ht="13">
      <c r="A88" s="4" t="s">
        <v>180</v>
      </c>
      <c r="B88" s="4"/>
      <c r="C88" s="4" t="s">
        <v>181</v>
      </c>
      <c r="D88" s="4" t="s">
        <v>182</v>
      </c>
    </row>
    <row r="89" spans="1:53" ht="13">
      <c r="A89" s="4" t="s">
        <v>29</v>
      </c>
      <c r="B89" s="4" t="s">
        <v>27</v>
      </c>
      <c r="C89" s="4" t="s">
        <v>183</v>
      </c>
    </row>
    <row r="90" spans="1:53" ht="13">
      <c r="A90" s="4" t="s">
        <v>45</v>
      </c>
      <c r="B90" s="4" t="s">
        <v>20</v>
      </c>
      <c r="C90" s="4" t="s">
        <v>183</v>
      </c>
    </row>
    <row r="91" spans="1:53" ht="13">
      <c r="A91" s="4" t="s">
        <v>37</v>
      </c>
      <c r="B91" s="4" t="s">
        <v>40</v>
      </c>
      <c r="C91" s="4" t="s">
        <v>183</v>
      </c>
    </row>
    <row r="92" spans="1:53" ht="13">
      <c r="A92" s="4" t="s">
        <v>27</v>
      </c>
      <c r="B92" s="4" t="s">
        <v>49</v>
      </c>
      <c r="C92" s="4" t="s">
        <v>184</v>
      </c>
    </row>
    <row r="93" spans="1:53" ht="13">
      <c r="A93" s="4" t="s">
        <v>65</v>
      </c>
      <c r="B93" s="4" t="s">
        <v>57</v>
      </c>
      <c r="C93" s="4" t="s">
        <v>185</v>
      </c>
    </row>
    <row r="94" spans="1:53" ht="13">
      <c r="A94" s="4" t="s">
        <v>54</v>
      </c>
      <c r="B94" s="4" t="s">
        <v>73</v>
      </c>
      <c r="C94" s="4" t="s">
        <v>185</v>
      </c>
    </row>
    <row r="95" spans="1:53" ht="13">
      <c r="A95" s="4" t="s">
        <v>78</v>
      </c>
      <c r="B95" s="4" t="s">
        <v>82</v>
      </c>
      <c r="C95" s="4" t="s">
        <v>183</v>
      </c>
    </row>
    <row r="96" spans="1:53" ht="13">
      <c r="A96" s="4" t="s">
        <v>149</v>
      </c>
      <c r="B96" s="4" t="s">
        <v>150</v>
      </c>
      <c r="C96" s="4" t="s">
        <v>184</v>
      </c>
    </row>
    <row r="97" spans="1:6" ht="13">
      <c r="A97" s="4" t="s">
        <v>151</v>
      </c>
      <c r="B97" s="4" t="s">
        <v>152</v>
      </c>
      <c r="C97" s="4" t="s">
        <v>185</v>
      </c>
    </row>
    <row r="98" spans="1:6" ht="13">
      <c r="A98" s="4" t="s">
        <v>54</v>
      </c>
      <c r="B98" s="4" t="s">
        <v>57</v>
      </c>
      <c r="C98" s="4" t="s">
        <v>183</v>
      </c>
    </row>
    <row r="99" spans="1:6" ht="13">
      <c r="A99" s="4" t="s">
        <v>57</v>
      </c>
      <c r="B99" s="4" t="s">
        <v>59</v>
      </c>
      <c r="C99" s="4" t="s">
        <v>183</v>
      </c>
    </row>
    <row r="100" spans="1:6" ht="13">
      <c r="A100" s="4" t="s">
        <v>62</v>
      </c>
      <c r="B100" s="4" t="s">
        <v>65</v>
      </c>
      <c r="C100" s="4" t="s">
        <v>184</v>
      </c>
    </row>
    <row r="101" spans="1:6" ht="13">
      <c r="A101" s="4" t="s">
        <v>65</v>
      </c>
      <c r="B101" s="4" t="s">
        <v>67</v>
      </c>
      <c r="C101" s="4" t="s">
        <v>183</v>
      </c>
    </row>
    <row r="102" spans="1:6" ht="13">
      <c r="A102" s="4" t="s">
        <v>70</v>
      </c>
      <c r="B102" s="4" t="s">
        <v>73</v>
      </c>
      <c r="C102" s="4" t="s">
        <v>184</v>
      </c>
    </row>
    <row r="103" spans="1:6" ht="13">
      <c r="A103" s="4" t="s">
        <v>78</v>
      </c>
      <c r="B103" s="4" t="s">
        <v>155</v>
      </c>
      <c r="C103" s="4" t="s">
        <v>183</v>
      </c>
    </row>
    <row r="104" spans="1:6" ht="13">
      <c r="A104" s="4" t="s">
        <v>151</v>
      </c>
      <c r="B104" s="4" t="s">
        <v>152</v>
      </c>
      <c r="C104" s="4" t="s">
        <v>184</v>
      </c>
    </row>
    <row r="106" spans="1:6" ht="15">
      <c r="A106" s="1" t="s">
        <v>186</v>
      </c>
      <c r="B106" s="1"/>
    </row>
    <row r="107" spans="1:6" ht="13">
      <c r="A107" s="4" t="s">
        <v>187</v>
      </c>
      <c r="B107" s="4" t="s">
        <v>5</v>
      </c>
      <c r="C107" s="4" t="s">
        <v>188</v>
      </c>
      <c r="D107" s="4" t="s">
        <v>189</v>
      </c>
      <c r="E107" s="4" t="s">
        <v>190</v>
      </c>
      <c r="F107" s="4" t="s">
        <v>191</v>
      </c>
    </row>
    <row r="108" spans="1:6" ht="13">
      <c r="A108" s="4" t="s">
        <v>192</v>
      </c>
      <c r="B108" s="4" t="s">
        <v>23</v>
      </c>
      <c r="C108" s="4" t="s">
        <v>168</v>
      </c>
      <c r="D108" s="4" t="s">
        <v>193</v>
      </c>
      <c r="E108" s="4" t="s">
        <v>194</v>
      </c>
      <c r="F108" s="4" t="s">
        <v>195</v>
      </c>
    </row>
    <row r="109" spans="1:6" ht="13">
      <c r="A109" s="4" t="s">
        <v>196</v>
      </c>
      <c r="B109" s="4" t="s">
        <v>23</v>
      </c>
      <c r="C109" s="4" t="s">
        <v>168</v>
      </c>
      <c r="D109" s="4" t="s">
        <v>193</v>
      </c>
      <c r="E109" s="4" t="s">
        <v>197</v>
      </c>
      <c r="F109" s="4" t="s">
        <v>195</v>
      </c>
    </row>
    <row r="110" spans="1:6" ht="13">
      <c r="A110" s="4" t="s">
        <v>198</v>
      </c>
      <c r="B110" s="4" t="s">
        <v>23</v>
      </c>
      <c r="C110" s="4" t="s">
        <v>168</v>
      </c>
      <c r="D110" s="4" t="s">
        <v>199</v>
      </c>
      <c r="E110" s="4" t="s">
        <v>200</v>
      </c>
      <c r="F110" s="4" t="s">
        <v>195</v>
      </c>
    </row>
    <row r="111" spans="1:6" ht="13">
      <c r="A111" s="4" t="s">
        <v>201</v>
      </c>
      <c r="B111" s="4" t="s">
        <v>23</v>
      </c>
      <c r="C111" s="4" t="s">
        <v>156</v>
      </c>
      <c r="D111" s="4" t="s">
        <v>199</v>
      </c>
      <c r="E111" s="4" t="s">
        <v>202</v>
      </c>
      <c r="F111" s="4" t="s">
        <v>195</v>
      </c>
    </row>
    <row r="112" spans="1:6" ht="13">
      <c r="A112" s="4" t="s">
        <v>203</v>
      </c>
      <c r="B112" s="4" t="s">
        <v>23</v>
      </c>
      <c r="C112" s="4" t="s">
        <v>162</v>
      </c>
      <c r="D112" s="4" t="s">
        <v>199</v>
      </c>
      <c r="E112" s="4" t="s">
        <v>204</v>
      </c>
      <c r="F112" s="4" t="s">
        <v>205</v>
      </c>
    </row>
    <row r="113" spans="1:6" ht="13">
      <c r="A113" s="4" t="s">
        <v>203</v>
      </c>
      <c r="B113" s="4" t="s">
        <v>81</v>
      </c>
      <c r="C113" s="4" t="s">
        <v>162</v>
      </c>
      <c r="D113" s="4" t="s">
        <v>199</v>
      </c>
      <c r="E113" s="4" t="s">
        <v>204</v>
      </c>
      <c r="F113" s="4" t="s">
        <v>205</v>
      </c>
    </row>
    <row r="114" spans="1:6" ht="13">
      <c r="A114" s="4" t="s">
        <v>206</v>
      </c>
      <c r="B114" s="4" t="s">
        <v>23</v>
      </c>
      <c r="C114" s="4" t="s">
        <v>169</v>
      </c>
      <c r="D114" s="4" t="s">
        <v>207</v>
      </c>
      <c r="E114" s="4" t="s">
        <v>208</v>
      </c>
      <c r="F114" s="4" t="s">
        <v>205</v>
      </c>
    </row>
    <row r="115" spans="1:6" ht="13">
      <c r="A115" s="4" t="s">
        <v>206</v>
      </c>
      <c r="B115" s="4" t="s">
        <v>90</v>
      </c>
      <c r="C115" s="4" t="s">
        <v>169</v>
      </c>
      <c r="D115" s="4" t="s">
        <v>207</v>
      </c>
      <c r="E115" s="4" t="s">
        <v>208</v>
      </c>
      <c r="F115" s="4" t="s">
        <v>205</v>
      </c>
    </row>
    <row r="116" spans="1:6" ht="13">
      <c r="A116" s="4" t="s">
        <v>209</v>
      </c>
      <c r="B116" s="4" t="s">
        <v>23</v>
      </c>
      <c r="C116" s="4" t="s">
        <v>169</v>
      </c>
      <c r="D116" s="4" t="s">
        <v>193</v>
      </c>
      <c r="E116" s="4" t="s">
        <v>210</v>
      </c>
      <c r="F116" s="4" t="s">
        <v>195</v>
      </c>
    </row>
    <row r="117" spans="1:6" ht="13">
      <c r="A117" s="4" t="s">
        <v>211</v>
      </c>
      <c r="B117" s="4" t="s">
        <v>23</v>
      </c>
      <c r="C117" s="4" t="s">
        <v>176</v>
      </c>
      <c r="D117" s="4" t="s">
        <v>193</v>
      </c>
      <c r="E117" s="4" t="s">
        <v>212</v>
      </c>
      <c r="F117" s="4" t="s">
        <v>195</v>
      </c>
    </row>
    <row r="118" spans="1:6" ht="13">
      <c r="A118" s="4" t="s">
        <v>213</v>
      </c>
      <c r="B118" s="4" t="s">
        <v>23</v>
      </c>
      <c r="C118" s="4" t="s">
        <v>176</v>
      </c>
      <c r="D118" s="4" t="s">
        <v>207</v>
      </c>
      <c r="E118" s="4" t="s">
        <v>214</v>
      </c>
      <c r="F118" s="4" t="s">
        <v>195</v>
      </c>
    </row>
    <row r="119" spans="1:6" ht="13">
      <c r="A119" s="4" t="s">
        <v>215</v>
      </c>
      <c r="B119" s="4" t="s">
        <v>23</v>
      </c>
      <c r="C119" s="4" t="s">
        <v>177</v>
      </c>
      <c r="D119" s="4" t="s">
        <v>199</v>
      </c>
      <c r="E119" s="4" t="s">
        <v>216</v>
      </c>
      <c r="F119" s="4" t="s">
        <v>195</v>
      </c>
    </row>
    <row r="120" spans="1:6" ht="13">
      <c r="A120" s="4" t="s">
        <v>217</v>
      </c>
      <c r="B120" s="4" t="s">
        <v>28</v>
      </c>
      <c r="C120" s="4" t="s">
        <v>176</v>
      </c>
      <c r="D120" s="4" t="s">
        <v>193</v>
      </c>
      <c r="E120" s="4" t="s">
        <v>218</v>
      </c>
      <c r="F120" s="4" t="s">
        <v>195</v>
      </c>
    </row>
    <row r="121" spans="1:6" ht="13">
      <c r="A121" s="4" t="s">
        <v>219</v>
      </c>
      <c r="B121" s="4" t="s">
        <v>28</v>
      </c>
      <c r="C121" s="4" t="s">
        <v>176</v>
      </c>
      <c r="D121" s="4" t="s">
        <v>199</v>
      </c>
      <c r="E121" s="4" t="s">
        <v>220</v>
      </c>
      <c r="F121" s="4" t="s">
        <v>195</v>
      </c>
    </row>
    <row r="122" spans="1:6" ht="13">
      <c r="A122" s="4" t="s">
        <v>221</v>
      </c>
      <c r="B122" s="4" t="s">
        <v>28</v>
      </c>
      <c r="C122" s="4" t="s">
        <v>177</v>
      </c>
      <c r="D122" s="4" t="s">
        <v>193</v>
      </c>
      <c r="E122" s="4" t="s">
        <v>222</v>
      </c>
      <c r="F122" s="4" t="s">
        <v>195</v>
      </c>
    </row>
    <row r="123" spans="1:6" ht="13">
      <c r="A123" s="4" t="s">
        <v>223</v>
      </c>
      <c r="B123" s="4" t="s">
        <v>28</v>
      </c>
      <c r="C123" s="4" t="s">
        <v>168</v>
      </c>
      <c r="D123" s="4" t="s">
        <v>199</v>
      </c>
      <c r="E123" s="4" t="s">
        <v>224</v>
      </c>
      <c r="F123" s="4" t="s">
        <v>195</v>
      </c>
    </row>
    <row r="124" spans="1:6" ht="13">
      <c r="A124" s="4" t="s">
        <v>225</v>
      </c>
      <c r="B124" s="4" t="s">
        <v>30</v>
      </c>
      <c r="C124" s="4" t="s">
        <v>176</v>
      </c>
      <c r="D124" s="4" t="s">
        <v>193</v>
      </c>
      <c r="E124" s="4" t="s">
        <v>226</v>
      </c>
      <c r="F124" s="4" t="s">
        <v>195</v>
      </c>
    </row>
    <row r="125" spans="1:6" ht="13">
      <c r="A125" s="4" t="s">
        <v>227</v>
      </c>
      <c r="B125" s="4" t="s">
        <v>30</v>
      </c>
      <c r="C125" s="4" t="s">
        <v>228</v>
      </c>
      <c r="D125" s="4" t="s">
        <v>193</v>
      </c>
      <c r="E125" s="4" t="s">
        <v>229</v>
      </c>
      <c r="F125" s="4" t="s">
        <v>195</v>
      </c>
    </row>
    <row r="126" spans="1:6" ht="13">
      <c r="A126" s="4" t="s">
        <v>230</v>
      </c>
      <c r="B126" s="4" t="s">
        <v>30</v>
      </c>
      <c r="C126" s="4" t="s">
        <v>165</v>
      </c>
      <c r="D126" s="4" t="s">
        <v>193</v>
      </c>
      <c r="E126" s="4" t="s">
        <v>231</v>
      </c>
      <c r="F126" s="4" t="s">
        <v>195</v>
      </c>
    </row>
    <row r="127" spans="1:6" ht="13">
      <c r="A127" s="4" t="s">
        <v>232</v>
      </c>
      <c r="B127" s="4" t="s">
        <v>30</v>
      </c>
      <c r="C127" s="4" t="s">
        <v>160</v>
      </c>
      <c r="D127" s="4" t="s">
        <v>199</v>
      </c>
      <c r="E127" s="4" t="s">
        <v>233</v>
      </c>
      <c r="F127" s="4" t="s">
        <v>195</v>
      </c>
    </row>
    <row r="128" spans="1:6" ht="13">
      <c r="A128" s="4" t="s">
        <v>234</v>
      </c>
      <c r="B128" s="4" t="s">
        <v>30</v>
      </c>
      <c r="C128" s="4" t="s">
        <v>235</v>
      </c>
      <c r="D128" s="4" t="s">
        <v>199</v>
      </c>
      <c r="E128" s="4" t="s">
        <v>236</v>
      </c>
      <c r="F128" s="4" t="s">
        <v>205</v>
      </c>
    </row>
    <row r="129" spans="1:6" ht="13">
      <c r="A129" s="4" t="s">
        <v>234</v>
      </c>
      <c r="B129" s="4" t="s">
        <v>28</v>
      </c>
      <c r="C129" s="4" t="s">
        <v>235</v>
      </c>
      <c r="D129" s="4" t="s">
        <v>199</v>
      </c>
      <c r="E129" s="4" t="s">
        <v>236</v>
      </c>
      <c r="F129" s="4" t="s">
        <v>205</v>
      </c>
    </row>
    <row r="130" spans="1:6" ht="13">
      <c r="A130" s="4" t="s">
        <v>237</v>
      </c>
      <c r="B130" s="4" t="s">
        <v>30</v>
      </c>
      <c r="C130" s="4" t="s">
        <v>163</v>
      </c>
      <c r="D130" s="4" t="s">
        <v>199</v>
      </c>
      <c r="E130" s="4" t="s">
        <v>238</v>
      </c>
      <c r="F130" s="4" t="s">
        <v>195</v>
      </c>
    </row>
    <row r="131" spans="1:6" ht="13">
      <c r="A131" s="4" t="s">
        <v>239</v>
      </c>
      <c r="B131" s="4" t="s">
        <v>23</v>
      </c>
      <c r="C131" s="4" t="s">
        <v>158</v>
      </c>
      <c r="D131" s="4" t="s">
        <v>199</v>
      </c>
      <c r="E131" s="4" t="s">
        <v>240</v>
      </c>
      <c r="F131" s="4" t="s">
        <v>195</v>
      </c>
    </row>
    <row r="132" spans="1:6" ht="13">
      <c r="A132" s="4" t="s">
        <v>241</v>
      </c>
      <c r="B132" s="4" t="s">
        <v>23</v>
      </c>
      <c r="C132" s="4" t="s">
        <v>166</v>
      </c>
      <c r="D132" s="4" t="s">
        <v>199</v>
      </c>
      <c r="E132" s="4" t="s">
        <v>242</v>
      </c>
      <c r="F132" s="4" t="s">
        <v>195</v>
      </c>
    </row>
    <row r="133" spans="1:6" ht="13">
      <c r="A133" s="4" t="s">
        <v>243</v>
      </c>
      <c r="B133" s="4" t="s">
        <v>23</v>
      </c>
      <c r="C133" s="4" t="s">
        <v>172</v>
      </c>
      <c r="D133" s="4" t="s">
        <v>199</v>
      </c>
      <c r="E133" s="4" t="s">
        <v>244</v>
      </c>
      <c r="F133" s="4" t="s">
        <v>195</v>
      </c>
    </row>
    <row r="134" spans="1:6" ht="13">
      <c r="A134" s="4" t="s">
        <v>245</v>
      </c>
      <c r="B134" s="4" t="s">
        <v>81</v>
      </c>
      <c r="C134" s="4" t="s">
        <v>168</v>
      </c>
      <c r="D134" s="4" t="s">
        <v>199</v>
      </c>
      <c r="E134" s="4" t="s">
        <v>246</v>
      </c>
      <c r="F134" s="4" t="s">
        <v>195</v>
      </c>
    </row>
    <row r="135" spans="1:6" ht="13">
      <c r="A135" s="4" t="s">
        <v>247</v>
      </c>
      <c r="B135" s="4" t="s">
        <v>81</v>
      </c>
      <c r="C135" s="4" t="s">
        <v>156</v>
      </c>
      <c r="D135" s="4" t="s">
        <v>193</v>
      </c>
      <c r="E135" s="4" t="s">
        <v>248</v>
      </c>
      <c r="F135" s="4" t="s">
        <v>195</v>
      </c>
    </row>
    <row r="136" spans="1:6" ht="13">
      <c r="A136" s="4" t="s">
        <v>249</v>
      </c>
      <c r="B136" s="4" t="s">
        <v>81</v>
      </c>
      <c r="C136" s="4" t="s">
        <v>158</v>
      </c>
      <c r="D136" s="4" t="s">
        <v>193</v>
      </c>
      <c r="E136" s="4" t="s">
        <v>250</v>
      </c>
      <c r="F136" s="4" t="s">
        <v>205</v>
      </c>
    </row>
    <row r="137" spans="1:6" ht="13">
      <c r="A137" s="4" t="s">
        <v>249</v>
      </c>
      <c r="B137" s="4" t="s">
        <v>108</v>
      </c>
      <c r="C137" s="4" t="s">
        <v>158</v>
      </c>
      <c r="D137" s="4" t="s">
        <v>193</v>
      </c>
      <c r="E137" s="4" t="s">
        <v>250</v>
      </c>
      <c r="F137" s="4" t="s">
        <v>205</v>
      </c>
    </row>
    <row r="138" spans="1:6" ht="13">
      <c r="A138" s="4" t="s">
        <v>251</v>
      </c>
      <c r="B138" s="4" t="s">
        <v>90</v>
      </c>
      <c r="C138" s="4" t="s">
        <v>168</v>
      </c>
      <c r="D138" s="4" t="s">
        <v>193</v>
      </c>
      <c r="E138" s="4" t="s">
        <v>252</v>
      </c>
      <c r="F138" s="4" t="s">
        <v>195</v>
      </c>
    </row>
    <row r="139" spans="1:6" ht="13">
      <c r="A139" s="4" t="s">
        <v>253</v>
      </c>
      <c r="B139" s="4" t="s">
        <v>90</v>
      </c>
      <c r="C139" s="4" t="s">
        <v>156</v>
      </c>
      <c r="D139" s="4" t="s">
        <v>199</v>
      </c>
      <c r="E139" s="4" t="s">
        <v>254</v>
      </c>
      <c r="F139" s="4" t="s">
        <v>195</v>
      </c>
    </row>
    <row r="140" spans="1:6" ht="13">
      <c r="A140" s="4" t="s">
        <v>255</v>
      </c>
      <c r="B140" s="4" t="s">
        <v>108</v>
      </c>
      <c r="C140" s="4" t="s">
        <v>168</v>
      </c>
      <c r="D140" s="4" t="s">
        <v>199</v>
      </c>
      <c r="E140" s="4" t="s">
        <v>256</v>
      </c>
      <c r="F140" s="4" t="s">
        <v>195</v>
      </c>
    </row>
    <row r="141" spans="1:6" ht="13">
      <c r="A141" s="4" t="s">
        <v>257</v>
      </c>
      <c r="B141" s="4" t="s">
        <v>108</v>
      </c>
      <c r="C141" s="4" t="s">
        <v>176</v>
      </c>
      <c r="D141" s="4" t="s">
        <v>193</v>
      </c>
      <c r="E141" s="4" t="s">
        <v>258</v>
      </c>
      <c r="F141" s="4" t="s">
        <v>195</v>
      </c>
    </row>
    <row r="144" spans="1:6" ht="15">
      <c r="A144" s="1" t="s">
        <v>259</v>
      </c>
    </row>
    <row r="145" spans="1:4" ht="13">
      <c r="A145" s="4" t="s">
        <v>260</v>
      </c>
      <c r="B145" s="4" t="s">
        <v>5</v>
      </c>
      <c r="C145" s="4" t="s">
        <v>261</v>
      </c>
      <c r="D145" s="4" t="s">
        <v>262</v>
      </c>
    </row>
    <row r="146" spans="1:4" ht="13">
      <c r="A146" s="6">
        <v>46146</v>
      </c>
      <c r="B146" s="4" t="s">
        <v>23</v>
      </c>
      <c r="C146" s="4">
        <v>8</v>
      </c>
      <c r="D146" s="4">
        <v>12</v>
      </c>
    </row>
    <row r="147" spans="1:4" ht="13">
      <c r="A147" s="6">
        <v>46160</v>
      </c>
      <c r="B147" s="4" t="s">
        <v>23</v>
      </c>
      <c r="C147" s="4">
        <v>12</v>
      </c>
      <c r="D147" s="4">
        <v>12</v>
      </c>
    </row>
    <row r="148" spans="1:4" ht="13">
      <c r="A148" s="6">
        <v>46007</v>
      </c>
      <c r="B148" s="4" t="s">
        <v>28</v>
      </c>
      <c r="C148" s="4">
        <v>14</v>
      </c>
      <c r="D148" s="4">
        <v>17</v>
      </c>
    </row>
    <row r="149" spans="1:4" ht="13">
      <c r="A149" s="6">
        <v>46021</v>
      </c>
      <c r="B149" s="4" t="s">
        <v>28</v>
      </c>
      <c r="C149" s="4">
        <v>18</v>
      </c>
      <c r="D149" s="4">
        <v>17</v>
      </c>
    </row>
    <row r="150" spans="1:4" ht="13">
      <c r="A150" s="6">
        <v>45993</v>
      </c>
      <c r="B150" s="4" t="s">
        <v>30</v>
      </c>
      <c r="C150" s="4">
        <v>8</v>
      </c>
      <c r="D150" s="4">
        <v>10</v>
      </c>
    </row>
    <row r="151" spans="1:4" ht="13">
      <c r="A151" s="6">
        <v>46007</v>
      </c>
      <c r="B151" s="4" t="s">
        <v>30</v>
      </c>
      <c r="C151" s="4">
        <v>10</v>
      </c>
      <c r="D151" s="4">
        <v>10</v>
      </c>
    </row>
    <row r="152" spans="1:4" ht="13">
      <c r="A152" s="6">
        <v>46127</v>
      </c>
      <c r="B152" s="4" t="s">
        <v>81</v>
      </c>
      <c r="C152" s="4">
        <v>15</v>
      </c>
      <c r="D152" s="4">
        <v>15</v>
      </c>
    </row>
    <row r="153" spans="1:4" ht="13">
      <c r="A153" s="6">
        <v>46141</v>
      </c>
      <c r="B153" s="4" t="s">
        <v>81</v>
      </c>
      <c r="C153" s="4">
        <v>12</v>
      </c>
      <c r="D153" s="4">
        <v>15</v>
      </c>
    </row>
    <row r="154" spans="1:4" ht="13">
      <c r="A154" s="6">
        <v>46127</v>
      </c>
      <c r="B154" s="4" t="s">
        <v>90</v>
      </c>
      <c r="C154" s="4">
        <v>10</v>
      </c>
      <c r="D154" s="4">
        <v>12</v>
      </c>
    </row>
    <row r="155" spans="1:4" ht="13">
      <c r="A155" s="6">
        <v>46141</v>
      </c>
      <c r="B155" s="4" t="s">
        <v>90</v>
      </c>
      <c r="C155" s="4">
        <v>11</v>
      </c>
      <c r="D155" s="4">
        <v>12</v>
      </c>
    </row>
    <row r="156" spans="1:4" ht="13">
      <c r="A156" s="6">
        <v>46127</v>
      </c>
      <c r="B156" s="4" t="s">
        <v>108</v>
      </c>
      <c r="C156" s="4">
        <v>9</v>
      </c>
      <c r="D156" s="4">
        <v>10</v>
      </c>
    </row>
    <row r="157" spans="1:4" ht="13">
      <c r="A157" s="6">
        <v>46141</v>
      </c>
      <c r="B157" s="4" t="s">
        <v>108</v>
      </c>
      <c r="C157" s="4">
        <v>10</v>
      </c>
      <c r="D157" s="4">
        <v>10</v>
      </c>
    </row>
    <row r="159" spans="1:4" ht="13">
      <c r="A159" s="2" t="s">
        <v>263</v>
      </c>
      <c r="B159" s="21"/>
    </row>
    <row r="160" spans="1:4" ht="13">
      <c r="A160" s="7" t="s">
        <v>264</v>
      </c>
      <c r="B160" s="22"/>
    </row>
    <row r="161" spans="1:2" ht="13">
      <c r="A161" s="8" t="s">
        <v>48</v>
      </c>
      <c r="B161" s="23"/>
    </row>
    <row r="162" spans="1:2" ht="13">
      <c r="A162" s="8" t="s">
        <v>265</v>
      </c>
      <c r="B162" s="23"/>
    </row>
    <row r="163" spans="1:2" ht="13">
      <c r="A163" s="8" t="s">
        <v>91</v>
      </c>
      <c r="B163" s="23"/>
    </row>
    <row r="164" spans="1:2" ht="13">
      <c r="A164" s="8" t="s">
        <v>266</v>
      </c>
      <c r="B164" s="23"/>
    </row>
    <row r="165" spans="1:2" ht="13">
      <c r="A165" s="8" t="s">
        <v>25</v>
      </c>
      <c r="B165" s="23"/>
    </row>
    <row r="166" spans="1:2" ht="13">
      <c r="A166" s="8" t="s">
        <v>267</v>
      </c>
      <c r="B166" s="23"/>
    </row>
    <row r="167" spans="1:2" ht="13">
      <c r="A167" s="8" t="s">
        <v>268</v>
      </c>
      <c r="B167" s="23"/>
    </row>
    <row r="169" spans="1:2" ht="13">
      <c r="A169" s="9" t="s">
        <v>269</v>
      </c>
      <c r="B169" s="24"/>
    </row>
    <row r="170" spans="1:2" ht="13">
      <c r="A170" s="8" t="s">
        <v>270</v>
      </c>
      <c r="B170" s="23"/>
    </row>
    <row r="171" spans="1:2" ht="13">
      <c r="A171" s="8" t="s">
        <v>271</v>
      </c>
      <c r="B171" s="23"/>
    </row>
    <row r="172" spans="1:2" ht="13">
      <c r="A172" s="8" t="s">
        <v>272</v>
      </c>
      <c r="B172" s="23"/>
    </row>
    <row r="173" spans="1:2" ht="13">
      <c r="A173" s="8" t="s">
        <v>273</v>
      </c>
      <c r="B173" s="23"/>
    </row>
    <row r="174" spans="1:2" ht="13">
      <c r="A174" s="4" t="s">
        <v>274</v>
      </c>
      <c r="B174" s="25"/>
    </row>
    <row r="176" spans="1:2" ht="13">
      <c r="A176" s="2" t="s">
        <v>275</v>
      </c>
      <c r="B176" s="21"/>
    </row>
    <row r="177" spans="1:2" ht="13">
      <c r="A177" s="8" t="s">
        <v>276</v>
      </c>
      <c r="B177" s="23"/>
    </row>
    <row r="178" spans="1:2" ht="13">
      <c r="A178" s="8" t="s">
        <v>277</v>
      </c>
      <c r="B178" s="23"/>
    </row>
    <row r="179" spans="1:2" ht="13">
      <c r="A179" s="8" t="s">
        <v>278</v>
      </c>
      <c r="B179" s="23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Датасет(обновленный)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Katya Golyagina</cp:lastModifiedBy>
  <dcterms:created xsi:type="dcterms:W3CDTF">2026-08-24T10:19:28Z</dcterms:created>
  <dcterms:modified xsi:type="dcterms:W3CDTF">2026-08-24T11:28:33Z</dcterms:modified>
</cp:coreProperties>
</file>